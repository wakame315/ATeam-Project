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sp012\Desktop\"/>
    </mc:Choice>
  </mc:AlternateContent>
  <bookViews>
    <workbookView xWindow="0" yWindow="0" windowWidth="23040" windowHeight="8376" activeTab="9"/>
  </bookViews>
  <sheets>
    <sheet name="仕様書" sheetId="1" r:id="rId1"/>
    <sheet name="プログラム" sheetId="7" r:id="rId2"/>
    <sheet name="ツール" sheetId="8" r:id="rId3"/>
    <sheet name="モデル" sheetId="2" r:id="rId4"/>
    <sheet name="BGM" sheetId="3" r:id="rId5"/>
    <sheet name="テクスチャ" sheetId="5" r:id="rId6"/>
    <sheet name="UI" sheetId="6" r:id="rId7"/>
    <sheet name="モーション" sheetId="9" r:id="rId8"/>
    <sheet name="効果音" sheetId="4" r:id="rId9"/>
    <sheet name="リスト" sheetId="11" r:id="rId10"/>
  </sheets>
  <functionGroups builtInGroupCount="18"/>
  <definedNames>
    <definedName name="_xlnm._FilterDatabase" localSheetId="0" hidden="1">仕様書!$A$7:$G$15</definedName>
    <definedName name="状況">プログラム!$I$3:$M$3</definedName>
    <definedName name="達成率">プログラム!$I$2:$M$2</definedName>
  </definedNames>
  <calcPr calcId="162913"/>
  <customWorkbookViews>
    <customWorkbookView name="gsp029 - 個人用ビュー" guid="{51D8410D-35A1-408D-84BF-E43D7B0E3C94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D19" i="7"/>
  <c r="D7" i="7"/>
  <c r="D8" i="7"/>
  <c r="D9" i="7"/>
  <c r="D10" i="7"/>
  <c r="D11" i="7"/>
  <c r="D12" i="7"/>
  <c r="D13" i="7"/>
  <c r="D14" i="7"/>
  <c r="D15" i="7"/>
  <c r="D16" i="7"/>
  <c r="D17" i="7"/>
  <c r="D18" i="7"/>
  <c r="D8" i="1"/>
  <c r="D20" i="1"/>
  <c r="D19" i="1"/>
  <c r="D18" i="1"/>
  <c r="D17" i="1"/>
  <c r="D16" i="1"/>
  <c r="D15" i="1"/>
  <c r="D14" i="1"/>
  <c r="D13" i="1"/>
  <c r="D12" i="1"/>
  <c r="D11" i="1"/>
  <c r="D10" i="1"/>
  <c r="D9" i="1"/>
  <c r="C2" i="8" l="1"/>
  <c r="C2" i="2"/>
  <c r="C2" i="4"/>
  <c r="C2" i="3"/>
  <c r="C2" i="7"/>
  <c r="C2" i="9"/>
  <c r="C5" i="1" l="1"/>
</calcChain>
</file>

<file path=xl/sharedStrings.xml><?xml version="1.0" encoding="utf-8"?>
<sst xmlns="http://schemas.openxmlformats.org/spreadsheetml/2006/main" count="112" uniqueCount="44">
  <si>
    <t>ゲームジャンル</t>
    <phoneticPr fontId="1"/>
  </si>
  <si>
    <t>使用言語</t>
    <rPh sb="0" eb="2">
      <t>シヨウ</t>
    </rPh>
    <rPh sb="2" eb="4">
      <t>ゲンゴ</t>
    </rPh>
    <phoneticPr fontId="1"/>
  </si>
  <si>
    <t>タイトル</t>
    <phoneticPr fontId="1"/>
  </si>
  <si>
    <t>TPS,アクション</t>
    <phoneticPr fontId="1"/>
  </si>
  <si>
    <t>C++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</si>
  <si>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</si>
  <si>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</si>
  <si>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樋宮 匠、齋藤 大行</t>
    <rPh sb="0" eb="2">
      <t>ヒミヤ</t>
    </rPh>
    <rPh sb="3" eb="4">
      <t>ショウ</t>
    </rPh>
    <rPh sb="5" eb="7">
      <t>サイトウ</t>
    </rPh>
    <rPh sb="6" eb="7">
      <t>フジ</t>
    </rPh>
    <rPh sb="8" eb="9">
      <t>ダイ</t>
    </rPh>
    <rPh sb="9" eb="10">
      <t>ギョウ</t>
    </rPh>
    <phoneticPr fontId="1"/>
  </si>
  <si>
    <t>シート一覧</t>
    <rPh sb="3" eb="5">
      <t>イチラン</t>
    </rPh>
    <phoneticPr fontId="1"/>
  </si>
  <si>
    <t>No</t>
    <phoneticPr fontId="1"/>
  </si>
  <si>
    <t>シート名</t>
    <rPh sb="3" eb="4">
      <t>メイ</t>
    </rPh>
    <phoneticPr fontId="1"/>
  </si>
  <si>
    <t>モデル</t>
    <phoneticPr fontId="1"/>
  </si>
  <si>
    <t>BGM</t>
    <phoneticPr fontId="1"/>
  </si>
  <si>
    <t>効果音</t>
    <rPh sb="0" eb="3">
      <t>コウカオン</t>
    </rPh>
    <phoneticPr fontId="1"/>
  </si>
  <si>
    <t>テクスチャ</t>
    <phoneticPr fontId="1"/>
  </si>
  <si>
    <t>最終更新日</t>
    <rPh sb="0" eb="2">
      <t>サイシュウ</t>
    </rPh>
    <rPh sb="2" eb="5">
      <t>コウシンビ</t>
    </rPh>
    <phoneticPr fontId="1"/>
  </si>
  <si>
    <t>プログラム</t>
    <phoneticPr fontId="1"/>
  </si>
  <si>
    <t>ツール作成</t>
    <rPh sb="3" eb="5">
      <t>サクセイ</t>
    </rPh>
    <phoneticPr fontId="1"/>
  </si>
  <si>
    <t>齋藤大行</t>
  </si>
  <si>
    <t>モーション</t>
    <phoneticPr fontId="1"/>
  </si>
  <si>
    <t>UI</t>
    <phoneticPr fontId="1"/>
  </si>
  <si>
    <t>樋宮匠</t>
  </si>
  <si>
    <t>　</t>
  </si>
  <si>
    <t>日本防衛軍(仮)</t>
    <rPh sb="0" eb="2">
      <t>ニホン</t>
    </rPh>
    <rPh sb="2" eb="4">
      <t>ボウエイ</t>
    </rPh>
    <rPh sb="4" eb="5">
      <t>グン</t>
    </rPh>
    <rPh sb="6" eb="7">
      <t>カリ</t>
    </rPh>
    <phoneticPr fontId="1"/>
  </si>
  <si>
    <t>開始日</t>
    <rPh sb="0" eb="3">
      <t>カイシビ</t>
    </rPh>
    <phoneticPr fontId="1"/>
  </si>
  <si>
    <t>担当者</t>
    <rPh sb="0" eb="3">
      <t>タントウシャ</t>
    </rPh>
    <phoneticPr fontId="1"/>
  </si>
  <si>
    <t>タスク</t>
    <phoneticPr fontId="1"/>
  </si>
  <si>
    <t>達成率</t>
    <rPh sb="0" eb="3">
      <t>タッセイリツ</t>
    </rPh>
    <phoneticPr fontId="1"/>
  </si>
  <si>
    <t>凡例:</t>
    <rPh sb="0" eb="1">
      <t>ボン</t>
    </rPh>
    <rPh sb="1" eb="2">
      <t>レイ</t>
    </rPh>
    <phoneticPr fontId="1"/>
  </si>
  <si>
    <t>状況</t>
    <rPh sb="0" eb="2">
      <t>ジョウキョウ</t>
    </rPh>
    <phoneticPr fontId="1"/>
  </si>
  <si>
    <t>危険</t>
    <rPh sb="0" eb="2">
      <t>キケン</t>
    </rPh>
    <phoneticPr fontId="1"/>
  </si>
  <si>
    <t>完了</t>
    <rPh sb="0" eb="2">
      <t>カンリョウ</t>
    </rPh>
    <phoneticPr fontId="1"/>
  </si>
  <si>
    <t>順調</t>
    <rPh sb="0" eb="2">
      <t>ジュンチョウ</t>
    </rPh>
    <phoneticPr fontId="1"/>
  </si>
  <si>
    <t>注意</t>
    <rPh sb="0" eb="2">
      <t>チュウイ</t>
    </rPh>
    <phoneticPr fontId="1"/>
  </si>
  <si>
    <t>未実装</t>
    <rPh sb="0" eb="3">
      <t>ミジッソウ</t>
    </rPh>
    <phoneticPr fontId="1"/>
  </si>
  <si>
    <t>名前</t>
    <rPh sb="0" eb="2">
      <t>ナマエ</t>
    </rPh>
    <phoneticPr fontId="1"/>
  </si>
  <si>
    <t>状況</t>
    <rPh sb="0" eb="2">
      <t>ジョウキョウ</t>
    </rPh>
    <phoneticPr fontId="1"/>
  </si>
  <si>
    <t>後藤慎之介</t>
    <rPh sb="0" eb="2">
      <t>ゴトウ</t>
    </rPh>
    <rPh sb="2" eb="5">
      <t>シンノスケ</t>
    </rPh>
    <phoneticPr fontId="1"/>
  </si>
  <si>
    <t>鈴木爽太</t>
    <rPh sb="0" eb="2">
      <t>スズキ</t>
    </rPh>
    <rPh sb="2" eb="4">
      <t>ソウタ</t>
    </rPh>
    <phoneticPr fontId="1"/>
  </si>
  <si>
    <t>樋宮匠</t>
    <rPh sb="0" eb="2">
      <t>ヒミヤ</t>
    </rPh>
    <rPh sb="2" eb="3">
      <t>タクミ</t>
    </rPh>
    <phoneticPr fontId="1"/>
  </si>
  <si>
    <t>東村哲士</t>
    <rPh sb="0" eb="2">
      <t>ヒガシムラ</t>
    </rPh>
    <rPh sb="2" eb="3">
      <t>サトシ</t>
    </rPh>
    <rPh sb="3" eb="4">
      <t>シ</t>
    </rPh>
    <phoneticPr fontId="1"/>
  </si>
  <si>
    <t>小熊朗</t>
    <rPh sb="0" eb="2">
      <t>オグマ</t>
    </rPh>
    <rPh sb="2" eb="3">
      <t>アキラ</t>
    </rPh>
    <phoneticPr fontId="1"/>
  </si>
  <si>
    <t>齋藤大行</t>
    <rPh sb="0" eb="4">
      <t>サイトウヒロユキ</t>
    </rPh>
    <phoneticPr fontId="1"/>
  </si>
  <si>
    <t>dpisojfgoisd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</si>
</sst>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¥&quot;#,##0;[Red]&quot;¥&quot;\-#,##0"/>
    <numFmt numFmtId="176" formatCode="[&lt;=999]000;[&lt;=9999]000\-00;000\-0000"/>
    <numFmt numFmtId="177" formatCode="yyyy/m/d\ h:mm;@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6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2" fillId="0" borderId="3" xfId="1" applyBorder="1" applyAlignment="1">
      <alignment horizontal="center" vertical="center"/>
    </xf>
    <xf numFmtId="176" fontId="0" fillId="0" borderId="2" xfId="0" applyNumberFormat="1" applyBorder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6" fontId="0" fillId="0" borderId="0" xfId="2" applyFont="1" applyBorder="1" applyAlignment="1">
      <alignment vertical="center"/>
    </xf>
    <xf numFmtId="0" fontId="2" fillId="0" borderId="8" xfId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177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9" fontId="6" fillId="0" borderId="1" xfId="3" applyFont="1" applyFill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9" fontId="0" fillId="0" borderId="0" xfId="0" applyNumberFormat="1">
      <alignment vertical="center"/>
    </xf>
    <xf numFmtId="9" fontId="6" fillId="4" borderId="1" xfId="3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3" borderId="1" xfId="4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</cellXfs>
  <cellStyles count="5">
    <cellStyle name="どちらでもない" xfId="4" builtinId="28"/>
    <cellStyle name="パーセント" xfId="3" builtinId="5"/>
    <cellStyle name="ハイパーリンク" xfId="1" builtinId="8"/>
    <cellStyle name="通貨" xfId="2" builtinId="7"/>
    <cellStyle name="標準" xfId="0" builtinId="0"/>
  </cellStyles>
  <dxfs count="18">
    <dxf>
      <numFmt numFmtId="13" formatCode="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游ゴシック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yyyy/m/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6" formatCode="[&lt;=999]000;[&lt;=9999]000\-00;000\-0000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6" name="テーブル6" displayName="テーブル6" ref="A7:D20" totalsRowShown="0" headerRowDxfId="17" headerRowBorderDxfId="16" tableBorderDxfId="15" totalsRowBorderDxfId="14">
  <autoFilter ref="A7:D20"/>
  <tableColumns count="4">
    <tableColumn id="1" name="No" dataDxfId="13"/>
    <tableColumn id="2" name="シート名" dataDxfId="12" dataCellStyle="ハイパーリンク"/>
    <tableColumn id="3" name="作成者" dataDxfId="11"/>
    <tableColumn id="4" name="作成日" dataDxfId="10">
      <calculatedColumnFormula>IF(テーブル6[[#This Row],[シート名]] = "","",TODAY())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テーブル62" displayName="テーブル62" ref="A6:F19" totalsRowShown="0" headerRowDxfId="9" headerRowBorderDxfId="7" tableBorderDxfId="8" totalsRowBorderDxfId="6">
  <autoFilter ref="A6:F19"/>
  <sortState ref="A7:F19">
    <sortCondition ref="E6:E19"/>
  </sortState>
  <tableColumns count="6">
    <tableColumn id="1" name="No" dataDxfId="3"/>
    <tableColumn id="2" name="タスク" dataDxfId="2" dataCellStyle="ハイパーリンク"/>
    <tableColumn id="3" name="担当者" dataDxfId="5"/>
    <tableColumn id="4" name="開始日" dataDxfId="1">
      <calculatedColumnFormula>IF(テーブル62[[#This Row],[タスク]] = "","",TODAY())</calculatedColumnFormula>
    </tableColumn>
    <tableColumn id="5" name="達成率" dataDxfId="0"/>
    <tableColumn id="6" name="状況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0"/>
  <sheetViews>
    <sheetView topLeftCell="A7" workbookViewId="0">
      <selection activeCell="B16" sqref="B16"/>
    </sheetView>
  </sheetViews>
  <sheetFormatPr defaultColWidth="10.69921875" defaultRowHeight="18" x14ac:dyDescent="0.45"/>
  <cols>
    <col min="2" max="2" width="17.09765625" customWidth="1"/>
    <col min="3" max="3" width="16.8984375" customWidth="1"/>
    <col min="4" max="4" width="20.796875" customWidth="1"/>
  </cols>
  <sheetData>
    <row r="1" spans="1:9" x14ac:dyDescent="0.45">
      <c r="A1" s="1"/>
      <c r="B1" s="1"/>
      <c r="C1" s="1"/>
      <c r="D1" s="1"/>
      <c r="E1" s="1"/>
      <c r="F1" s="1"/>
      <c r="G1" s="1"/>
      <c r="H1" s="1"/>
    </row>
    <row r="2" spans="1:9" x14ac:dyDescent="0.45">
      <c r="A2" s="19" t="s">
        <v>2</v>
      </c>
      <c r="B2" s="19"/>
      <c r="C2" s="16" t="s">
        <v>23</v>
      </c>
      <c r="D2" s="16"/>
      <c r="E2" s="16"/>
      <c r="F2" s="16"/>
      <c r="G2" s="2" t="s">
        <v>5</v>
      </c>
      <c r="H2" s="16" t="s">
        <v>7</v>
      </c>
      <c r="I2" s="16"/>
    </row>
    <row r="3" spans="1:9" x14ac:dyDescent="0.45">
      <c r="A3" s="19" t="s">
        <v>0</v>
      </c>
      <c r="B3" s="19"/>
      <c r="C3" s="16" t="s">
        <v>3</v>
      </c>
      <c r="D3" s="16"/>
      <c r="E3" s="16"/>
      <c r="F3" s="16"/>
      <c r="G3" s="2" t="s">
        <v>6</v>
      </c>
      <c r="H3" s="17">
        <v>44124</v>
      </c>
      <c r="I3" s="17"/>
    </row>
    <row r="4" spans="1:9" x14ac:dyDescent="0.45">
      <c r="A4" s="19" t="s">
        <v>1</v>
      </c>
      <c r="B4" s="19"/>
      <c r="C4" s="16" t="s">
        <v>4</v>
      </c>
      <c r="D4" s="16"/>
      <c r="E4" s="16"/>
      <c r="F4" s="16"/>
      <c r="G4" s="1"/>
      <c r="H4" s="1"/>
    </row>
    <row r="5" spans="1:9" x14ac:dyDescent="0.45">
      <c r="A5" s="21" t="s">
        <v>15</v>
      </c>
      <c r="B5" s="21"/>
      <c r="C5" s="20">
        <f ca="1">LastSaveTime()</f>
        <v>44126.584166666667</v>
      </c>
      <c r="D5" s="20"/>
      <c r="E5" s="20"/>
      <c r="F5" s="20"/>
    </row>
    <row r="6" spans="1:9" x14ac:dyDescent="0.45">
      <c r="A6" s="18" t="s">
        <v>8</v>
      </c>
      <c r="B6" s="18"/>
    </row>
    <row r="7" spans="1:9" x14ac:dyDescent="0.45">
      <c r="A7" s="9" t="s">
        <v>9</v>
      </c>
      <c r="B7" s="10" t="s">
        <v>10</v>
      </c>
      <c r="C7" s="10" t="s">
        <v>5</v>
      </c>
      <c r="D7" s="10" t="s">
        <v>6</v>
      </c>
      <c r="E7" s="13"/>
      <c r="F7" s="12"/>
      <c r="G7" s="12"/>
    </row>
    <row r="8" spans="1:9" x14ac:dyDescent="0.45">
      <c r="A8" s="8">
        <v>1</v>
      </c>
      <c r="B8" s="4" t="s">
        <v>16</v>
      </c>
      <c r="C8" s="5" t="s">
        <v>18</v>
      </c>
      <c r="D8" s="6">
        <f ca="1">IF(テーブル6[[#This Row],[シート名]] = "","",TODAY())</f>
        <v>44126</v>
      </c>
      <c r="E8" s="13"/>
      <c r="F8" s="12"/>
      <c r="G8" s="12"/>
    </row>
    <row r="9" spans="1:9" x14ac:dyDescent="0.45">
      <c r="A9" s="8">
        <v>2</v>
      </c>
      <c r="B9" s="4" t="s">
        <v>17</v>
      </c>
      <c r="C9" s="5" t="s">
        <v>18</v>
      </c>
      <c r="D9" s="6">
        <f ca="1">IF(テーブル6[[#This Row],[シート名]] = "","",TODAY())</f>
        <v>44126</v>
      </c>
      <c r="E9" s="13"/>
      <c r="F9" s="12"/>
      <c r="G9" s="12"/>
    </row>
    <row r="10" spans="1:9" x14ac:dyDescent="0.45">
      <c r="A10" s="8">
        <v>3</v>
      </c>
      <c r="B10" s="7" t="s">
        <v>11</v>
      </c>
      <c r="C10" s="5" t="s">
        <v>21</v>
      </c>
      <c r="D10" s="6">
        <f ca="1">IF(テーブル6[[#This Row],[シート名]] = "","",TODAY())</f>
        <v>44126</v>
      </c>
      <c r="E10" s="13"/>
      <c r="F10" s="12"/>
      <c r="G10" s="12"/>
    </row>
    <row r="11" spans="1:9" x14ac:dyDescent="0.45">
      <c r="A11" s="8">
        <v>4</v>
      </c>
      <c r="B11" s="7" t="s">
        <v>12</v>
      </c>
      <c r="C11" s="5" t="s">
        <v>21</v>
      </c>
      <c r="D11" s="6">
        <f ca="1">IF(テーブル6[[#This Row],[シート名]] = "","",TODAY())</f>
        <v>44126</v>
      </c>
      <c r="E11" s="13"/>
      <c r="F11" s="12"/>
      <c r="G11" s="12"/>
    </row>
    <row r="12" spans="1:9" x14ac:dyDescent="0.45">
      <c r="A12" s="8">
        <v>5</v>
      </c>
      <c r="B12" s="7" t="s">
        <v>13</v>
      </c>
      <c r="C12" s="5" t="s">
        <v>21</v>
      </c>
      <c r="D12" s="6">
        <f ca="1">IF(テーブル6[[#This Row],[シート名]] = "","",TODAY())</f>
        <v>44126</v>
      </c>
      <c r="E12" s="14"/>
      <c r="F12" s="12"/>
      <c r="G12" s="12"/>
    </row>
    <row r="13" spans="1:9" x14ac:dyDescent="0.45">
      <c r="A13" s="8">
        <v>6</v>
      </c>
      <c r="B13" s="7" t="s">
        <v>14</v>
      </c>
      <c r="C13" s="5" t="s">
        <v>21</v>
      </c>
      <c r="D13" s="6">
        <f ca="1">IF(テーブル6[[#This Row],[シート名]] = "","",TODAY())</f>
        <v>44126</v>
      </c>
      <c r="E13" s="13"/>
      <c r="F13" s="12"/>
      <c r="G13" s="12"/>
    </row>
    <row r="14" spans="1:9" x14ac:dyDescent="0.45">
      <c r="A14" s="8">
        <v>7</v>
      </c>
      <c r="B14" s="7" t="s">
        <v>20</v>
      </c>
      <c r="C14" s="5" t="s">
        <v>21</v>
      </c>
      <c r="D14" s="6">
        <f ca="1">IF(テーブル6[[#This Row],[シート名]] = "","",TODAY())</f>
        <v>44126</v>
      </c>
      <c r="E14" s="13"/>
      <c r="F14" s="12"/>
      <c r="G14" s="12"/>
    </row>
    <row r="15" spans="1:9" x14ac:dyDescent="0.45">
      <c r="A15" s="11">
        <v>8</v>
      </c>
      <c r="B15" s="15" t="s">
        <v>19</v>
      </c>
      <c r="C15" s="5" t="s">
        <v>18</v>
      </c>
      <c r="D15" s="6">
        <f ca="1">IF(テーブル6[[#This Row],[シート名]] = "","",TODAY())</f>
        <v>44126</v>
      </c>
      <c r="E15" s="13"/>
      <c r="F15" s="12"/>
      <c r="G15" s="12"/>
    </row>
    <row r="16" spans="1:9" x14ac:dyDescent="0.45">
      <c r="A16" s="11">
        <v>9</v>
      </c>
      <c r="B16" s="7"/>
      <c r="C16" s="5" t="s">
        <v>22</v>
      </c>
      <c r="D16" s="6" t="str">
        <f ca="1">IF(テーブル6[[#This Row],[シート名]] = "","",TODAY())</f>
        <v/>
      </c>
    </row>
    <row r="17" spans="1:4" x14ac:dyDescent="0.45">
      <c r="A17" s="11">
        <v>10</v>
      </c>
      <c r="B17" s="7"/>
      <c r="C17" s="5" t="s">
        <v>22</v>
      </c>
      <c r="D17" s="6" t="str">
        <f ca="1">IF(テーブル6[[#This Row],[シート名]] = "","",TODAY())</f>
        <v/>
      </c>
    </row>
    <row r="18" spans="1:4" x14ac:dyDescent="0.45">
      <c r="A18" s="11">
        <v>11</v>
      </c>
      <c r="B18" s="7"/>
      <c r="C18" s="5" t="s">
        <v>22</v>
      </c>
      <c r="D18" s="6" t="str">
        <f ca="1">IF(テーブル6[[#This Row],[シート名]] = "","",TODAY())</f>
        <v/>
      </c>
    </row>
    <row r="19" spans="1:4" x14ac:dyDescent="0.45">
      <c r="A19" s="11">
        <v>12</v>
      </c>
      <c r="B19" s="7"/>
      <c r="C19" s="5" t="s">
        <v>22</v>
      </c>
      <c r="D19" s="6" t="str">
        <f ca="1">IF(テーブル6[[#This Row],[シート名]] = "","",TODAY())</f>
        <v/>
      </c>
    </row>
    <row r="20" spans="1:4" x14ac:dyDescent="0.45">
      <c r="A20" s="11">
        <v>13</v>
      </c>
      <c r="B20" s="7"/>
      <c r="C20" s="5" t="s">
        <v>22</v>
      </c>
      <c r="D20" s="6" t="str">
        <f ca="1">IF(テーブル6[[#This Row],[シート名]] = "","",TODAY())</f>
        <v/>
      </c>
    </row>
  </sheetData>
  <customSheetViews>
    <customSheetView guid="{51D8410D-35A1-408D-84BF-E43D7B0E3C94}">
      <selection activeCell="L12" sqref="L12"/>
      <pageMargins left="0.7" right="0.7" top="0.75" bottom="0.75" header="0.3" footer="0.3"/>
      <pageSetup paperSize="9" orientation="portrait" horizontalDpi="300" verticalDpi="300" r:id="rId1"/>
    </customSheetView>
  </customSheetViews>
  <mergeCells count="11">
    <mergeCell ref="H2:I2"/>
    <mergeCell ref="H3:I3"/>
    <mergeCell ref="A6:B6"/>
    <mergeCell ref="A2:B2"/>
    <mergeCell ref="A3:B3"/>
    <mergeCell ref="A4:B4"/>
    <mergeCell ref="C2:F2"/>
    <mergeCell ref="C3:F3"/>
    <mergeCell ref="C4:F4"/>
    <mergeCell ref="C5:F5"/>
    <mergeCell ref="A5:B5"/>
  </mergeCells>
  <phoneticPr fontId="1"/>
  <dataValidations count="1">
    <dataValidation type="list" allowBlank="1" showInputMessage="1" showErrorMessage="1" sqref="C8:C20">
      <formula1>"齋藤大行,樋宮匠,　,"</formula1>
    </dataValidation>
  </dataValidations>
  <hyperlinks>
    <hyperlink ref="B10" location="モデル!A1" display="モデル"/>
    <hyperlink ref="B11" location="BGM!A1" display="BGM"/>
    <hyperlink ref="B12" location="効果音!A1" display="効果音"/>
    <hyperlink ref="B13" location="テクスチャ!A1" display="テクスチャ"/>
    <hyperlink ref="B14" location="UI!A1" display="UI"/>
    <hyperlink ref="B15" location="モーション!A1" display="モーション"/>
    <hyperlink ref="B8" location="プログラム!A1" display="プログラム"/>
    <hyperlink ref="B9" location="ツール作成!A1" display="ツール作成"/>
  </hyperlinks>
  <pageMargins left="0.7" right="0.7" top="0.75" bottom="0.75" header="0.3" footer="0.3"/>
  <pageSetup paperSize="9" orientation="portrait" horizontalDpi="300" verticalDpi="30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7"/>
  <sheetViews>
    <sheetView topLeftCell="A2" workbookViewId="0">
      <selection activeCell="E7" sqref="E7"/>
    </sheetView>
  </sheetViews>
  <sheetFormatPr defaultRowHeight="18" x14ac:dyDescent="0.45"/>
  <cols>
    <col min="1" max="1" width="7.59765625" customWidth="1"/>
    <col min="2" max="2" width="20.296875" customWidth="1"/>
    <col min="3" max="3" width="17.09765625" customWidth="1"/>
    <col min="4" max="4" width="18.5" customWidth="1"/>
    <col min="5" max="5" width="10.296875" customWidth="1"/>
    <col min="6" max="6" width="12.69921875" customWidth="1"/>
  </cols>
  <sheetData>
    <row r="1" spans="1:14" x14ac:dyDescent="0.45">
      <c r="H1" t="s">
        <v>28</v>
      </c>
    </row>
    <row r="2" spans="1:14" x14ac:dyDescent="0.45">
      <c r="A2" s="19" t="s">
        <v>10</v>
      </c>
      <c r="B2" s="19"/>
      <c r="C2" s="22" t="str">
        <f ca="1">RIGHT(CELL("filename",A1),LEN(CELL("filename",A1))-FIND("]",CELL("filename",A1)))</f>
        <v>プログラム</v>
      </c>
      <c r="D2" s="23"/>
      <c r="E2" s="23"/>
      <c r="F2" s="24"/>
      <c r="H2" s="37" t="s">
        <v>27</v>
      </c>
      <c r="I2" s="33">
        <v>1</v>
      </c>
      <c r="J2" s="33">
        <v>0.75</v>
      </c>
      <c r="K2" s="33">
        <v>0.5</v>
      </c>
      <c r="L2" s="33">
        <v>0.25</v>
      </c>
      <c r="M2" s="33">
        <v>0</v>
      </c>
    </row>
    <row r="3" spans="1:14" x14ac:dyDescent="0.45">
      <c r="A3" s="19" t="s">
        <v>5</v>
      </c>
      <c r="B3" s="19"/>
      <c r="C3" s="16" t="s">
        <v>7</v>
      </c>
      <c r="D3" s="16"/>
      <c r="E3" s="16"/>
      <c r="F3" s="16"/>
      <c r="H3" s="36" t="s">
        <v>29</v>
      </c>
      <c r="I3" s="39" t="s">
        <v>31</v>
      </c>
      <c r="J3" s="3" t="s">
        <v>32</v>
      </c>
      <c r="K3" s="40" t="s">
        <v>33</v>
      </c>
      <c r="L3" s="38" t="s">
        <v>30</v>
      </c>
      <c r="M3" s="41" t="s">
        <v>34</v>
      </c>
      <c r="N3" s="25"/>
    </row>
    <row r="4" spans="1:14" x14ac:dyDescent="0.45">
      <c r="A4" s="19" t="s">
        <v>6</v>
      </c>
      <c r="B4" s="19"/>
      <c r="C4" s="17">
        <v>44124</v>
      </c>
      <c r="D4" s="17"/>
      <c r="E4" s="17"/>
      <c r="F4" s="17"/>
    </row>
    <row r="6" spans="1:14" x14ac:dyDescent="0.45">
      <c r="A6" s="9" t="s">
        <v>9</v>
      </c>
      <c r="B6" s="10" t="s">
        <v>26</v>
      </c>
      <c r="C6" s="10" t="s">
        <v>25</v>
      </c>
      <c r="D6" s="3" t="s">
        <v>24</v>
      </c>
      <c r="E6" s="34" t="s">
        <v>27</v>
      </c>
      <c r="F6" s="35" t="s">
        <v>29</v>
      </c>
    </row>
    <row r="7" spans="1:14" x14ac:dyDescent="0.45">
      <c r="A7" s="8">
        <v>2</v>
      </c>
      <c r="B7" s="29" t="s">
        <v>43</v>
      </c>
      <c r="C7" s="5" t="s">
        <v>41</v>
      </c>
      <c r="D7" s="26">
        <f ca="1">IF(テーブル62[[#This Row],[タスク]] = "","",TODAY())</f>
        <v>44126</v>
      </c>
      <c r="E7" s="28">
        <v>0</v>
      </c>
      <c r="F7" s="27"/>
    </row>
    <row r="8" spans="1:14" x14ac:dyDescent="0.45">
      <c r="A8" s="8">
        <v>3</v>
      </c>
      <c r="B8" s="29"/>
      <c r="C8" s="5" t="s">
        <v>22</v>
      </c>
      <c r="D8" s="26" t="str">
        <f ca="1">IF(テーブル62[[#This Row],[タスク]] = "","",TODAY())</f>
        <v/>
      </c>
      <c r="E8" s="28">
        <v>0</v>
      </c>
      <c r="F8" s="27"/>
    </row>
    <row r="9" spans="1:14" x14ac:dyDescent="0.45">
      <c r="A9" s="8">
        <v>4</v>
      </c>
      <c r="B9" s="30"/>
      <c r="C9" s="5" t="s">
        <v>22</v>
      </c>
      <c r="D9" s="26" t="str">
        <f ca="1">IF(テーブル62[[#This Row],[タスク]] = "","",TODAY())</f>
        <v/>
      </c>
      <c r="E9" s="28">
        <v>0</v>
      </c>
      <c r="F9" s="27"/>
    </row>
    <row r="10" spans="1:14" x14ac:dyDescent="0.45">
      <c r="A10" s="8">
        <v>5</v>
      </c>
      <c r="B10" s="30"/>
      <c r="C10" s="5" t="s">
        <v>22</v>
      </c>
      <c r="D10" s="26" t="str">
        <f ca="1">IF(テーブル62[[#This Row],[タスク]] = "","",TODAY())</f>
        <v/>
      </c>
      <c r="E10" s="28">
        <v>0</v>
      </c>
      <c r="F10" s="27"/>
    </row>
    <row r="11" spans="1:14" x14ac:dyDescent="0.45">
      <c r="A11" s="8">
        <v>6</v>
      </c>
      <c r="B11" s="30"/>
      <c r="C11" s="5" t="s">
        <v>22</v>
      </c>
      <c r="D11" s="26" t="str">
        <f ca="1">IF(テーブル62[[#This Row],[タスク]] = "","",TODAY())</f>
        <v/>
      </c>
      <c r="E11" s="28">
        <v>0</v>
      </c>
      <c r="F11" s="27"/>
    </row>
    <row r="12" spans="1:14" x14ac:dyDescent="0.45">
      <c r="A12" s="8">
        <v>7</v>
      </c>
      <c r="B12" s="30"/>
      <c r="C12" s="5" t="s">
        <v>22</v>
      </c>
      <c r="D12" s="26" t="str">
        <f ca="1">IF(テーブル62[[#This Row],[タスク]] = "","",TODAY())</f>
        <v/>
      </c>
      <c r="E12" s="28">
        <v>0</v>
      </c>
      <c r="F12" s="27"/>
    </row>
    <row r="13" spans="1:14" x14ac:dyDescent="0.45">
      <c r="A13" s="8">
        <v>8</v>
      </c>
      <c r="B13" s="30"/>
      <c r="C13" s="5" t="s">
        <v>22</v>
      </c>
      <c r="D13" s="26" t="str">
        <f ca="1">IF(テーブル62[[#This Row],[タスク]] = "","",TODAY())</f>
        <v/>
      </c>
      <c r="E13" s="28">
        <v>0</v>
      </c>
      <c r="F13" s="27"/>
    </row>
    <row r="14" spans="1:14" x14ac:dyDescent="0.45">
      <c r="A14" s="11">
        <v>9</v>
      </c>
      <c r="B14" s="31"/>
      <c r="C14" s="5" t="s">
        <v>22</v>
      </c>
      <c r="D14" s="26" t="str">
        <f ca="1">IF(テーブル62[[#This Row],[タスク]] = "","",TODAY())</f>
        <v/>
      </c>
      <c r="E14" s="28">
        <v>0</v>
      </c>
      <c r="F14" s="27"/>
    </row>
    <row r="15" spans="1:14" x14ac:dyDescent="0.45">
      <c r="A15" s="11">
        <v>10</v>
      </c>
      <c r="B15" s="30"/>
      <c r="C15" s="5" t="s">
        <v>22</v>
      </c>
      <c r="D15" s="26" t="str">
        <f ca="1">IF(テーブル62[[#This Row],[タスク]] = "","",TODAY())</f>
        <v/>
      </c>
      <c r="E15" s="28">
        <v>0</v>
      </c>
      <c r="F15" s="27"/>
    </row>
    <row r="16" spans="1:14" x14ac:dyDescent="0.45">
      <c r="A16" s="11">
        <v>11</v>
      </c>
      <c r="B16" s="30"/>
      <c r="C16" s="5" t="s">
        <v>22</v>
      </c>
      <c r="D16" s="26" t="str">
        <f ca="1">IF(テーブル62[[#This Row],[タスク]] = "","",TODAY())</f>
        <v/>
      </c>
      <c r="E16" s="28">
        <v>0</v>
      </c>
      <c r="F16" s="27"/>
    </row>
    <row r="17" spans="1:7" x14ac:dyDescent="0.45">
      <c r="A17" s="11">
        <v>12</v>
      </c>
      <c r="B17" s="30"/>
      <c r="C17" s="5" t="s">
        <v>22</v>
      </c>
      <c r="D17" s="26" t="str">
        <f ca="1">IF(テーブル62[[#This Row],[タスク]] = "","",TODAY())</f>
        <v/>
      </c>
      <c r="E17" s="28">
        <v>0</v>
      </c>
      <c r="F17" s="27"/>
    </row>
    <row r="18" spans="1:7" x14ac:dyDescent="0.45">
      <c r="A18" s="11">
        <v>13</v>
      </c>
      <c r="B18" s="30"/>
      <c r="C18" s="5" t="s">
        <v>22</v>
      </c>
      <c r="D18" s="26" t="str">
        <f ca="1">IF(テーブル62[[#This Row],[タスク]] = "","",TODAY())</f>
        <v/>
      </c>
      <c r="E18" s="28">
        <v>0</v>
      </c>
      <c r="F18" s="27"/>
    </row>
    <row r="19" spans="1:7" x14ac:dyDescent="0.45">
      <c r="A19" s="11">
        <v>1</v>
      </c>
      <c r="B19" s="42"/>
      <c r="C19" s="5" t="s">
        <v>22</v>
      </c>
      <c r="D19" s="26" t="str">
        <f ca="1">IF(テーブル62[[#This Row],[タスク]] = "","",TODAY())</f>
        <v/>
      </c>
      <c r="E19" s="28">
        <v>0</v>
      </c>
      <c r="F19" s="27"/>
    </row>
    <row r="22" spans="1:7" x14ac:dyDescent="0.45">
      <c r="D22" s="32"/>
      <c r="E22" s="32"/>
      <c r="F22" s="32"/>
      <c r="G22" s="32"/>
    </row>
    <row r="23" spans="1:7" x14ac:dyDescent="0.45">
      <c r="B23" s="32"/>
    </row>
    <row r="24" spans="1:7" x14ac:dyDescent="0.45">
      <c r="B24" s="32"/>
    </row>
    <row r="25" spans="1:7" x14ac:dyDescent="0.45">
      <c r="B25" s="32"/>
    </row>
    <row r="26" spans="1:7" x14ac:dyDescent="0.45">
      <c r="B26" s="32"/>
    </row>
    <row r="27" spans="1:7" x14ac:dyDescent="0.45">
      <c r="B27" s="32"/>
    </row>
  </sheetData>
  <mergeCells count="6">
    <mergeCell ref="A2:B2"/>
    <mergeCell ref="C2:F2"/>
    <mergeCell ref="A3:B3"/>
    <mergeCell ref="C3:F3"/>
    <mergeCell ref="A4:B4"/>
    <mergeCell ref="C4:F4"/>
  </mergeCells>
  <phoneticPr fontId="1"/>
  <conditionalFormatting sqref="E7:E19">
    <cfRule type="dataBar" priority="9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{7A30A1CD-6680-470B-B0BE-6B93E230B027}</x14:id>
        </ext>
      </extLst>
    </cfRule>
  </conditionalFormatting>
  <conditionalFormatting sqref="I2:M2">
    <cfRule type="dataBar" priority="3">
      <dataBar>
        <cfvo type="num" val="0"/>
        <cfvo type="num" val="1"/>
        <color theme="0" tint="-0.34998626667073579"/>
      </dataBar>
      <extLst>
        <ext xmlns:x14="http://schemas.microsoft.com/office/spreadsheetml/2009/9/main" uri="{B025F937-C7B1-47D3-B67F-A62EFF666E3E}">
          <x14:id>{6B788142-CF8F-4BF9-BC52-693C0BF22E53}</x14:id>
        </ext>
      </extLst>
    </cfRule>
  </conditionalFormatting>
  <dataValidations count="3">
    <dataValidation type="list" allowBlank="1" showInputMessage="1" showErrorMessage="1" sqref="C8:C19">
      <formula1>"齋藤大行,樋宮匠,後藤慎之介,東村哲士,小熊朗,鈴木爽太,,,　,"</formula1>
    </dataValidation>
    <dataValidation type="list" allowBlank="1" showInputMessage="1" showErrorMessage="1" sqref="J2:M2">
      <formula1>"100%,75%,50%,25%,0%"</formula1>
    </dataValidation>
    <dataValidation type="list" allowBlank="1" showInputMessage="1" showErrorMessage="1" sqref="E7:E19">
      <formula1>達成率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30A1CD-6680-470B-B0BE-6B93E230B027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E7:E19</xm:sqref>
        </x14:conditionalFormatting>
        <x14:conditionalFormatting xmlns:xm="http://schemas.microsoft.com/office/excel/2006/main">
          <x14:cfRule type="dataBar" id="{6B788142-CF8F-4BF9-BC52-693C0BF22E53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I2:M2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OFFSET(リスト!$A$7,0,0,COUNTA(リスト!$A:$A)-1,1)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"/>
  <sheetViews>
    <sheetView workbookViewId="0">
      <selection activeCell="A2" sqref="A2:F4"/>
    </sheetView>
  </sheetViews>
  <sheetFormatPr defaultRowHeight="18" x14ac:dyDescent="0.45"/>
  <sheetData>
    <row r="2" spans="1:6" x14ac:dyDescent="0.45">
      <c r="A2" s="19" t="s">
        <v>10</v>
      </c>
      <c r="B2" s="19"/>
      <c r="C2" s="22" t="str">
        <f ca="1">RIGHT(CELL("filename",A1),LEN(CELL("filename",A1))-FIND("]",CELL("filename",A1)))</f>
        <v>ツール</v>
      </c>
      <c r="D2" s="23"/>
      <c r="E2" s="23"/>
      <c r="F2" s="24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</sheetData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4"/>
  <sheetViews>
    <sheetView workbookViewId="0">
      <selection activeCell="C4" sqref="A2:F4"/>
    </sheetView>
  </sheetViews>
  <sheetFormatPr defaultRowHeight="18" x14ac:dyDescent="0.45"/>
  <sheetData>
    <row r="2" spans="1:6" x14ac:dyDescent="0.45">
      <c r="A2" s="19" t="s">
        <v>10</v>
      </c>
      <c r="B2" s="19"/>
      <c r="C2" s="22" t="str">
        <f ca="1">RIGHT(CELL("filename",A1),LEN(CELL("filename",A1))-FIND("]",CELL("filename",A1)))</f>
        <v>モデル</v>
      </c>
      <c r="D2" s="23"/>
      <c r="E2" s="23"/>
      <c r="F2" s="24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</sheetData>
  <customSheetViews>
    <customSheetView guid="{51D8410D-35A1-408D-84BF-E43D7B0E3C94}">
      <selection activeCell="E12" sqref="E12"/>
      <pageMargins left="0.7" right="0.7" top="0.75" bottom="0.75" header="0.3" footer="0.3"/>
    </customSheetView>
  </customSheetViews>
  <mergeCells count="6">
    <mergeCell ref="A2:B2"/>
    <mergeCell ref="C2:F2"/>
    <mergeCell ref="A3:B3"/>
    <mergeCell ref="A4:B4"/>
    <mergeCell ref="C3:F3"/>
    <mergeCell ref="C4:F4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F4"/>
  <sheetViews>
    <sheetView workbookViewId="0">
      <selection activeCell="C2" sqref="C2:F2"/>
    </sheetView>
  </sheetViews>
  <sheetFormatPr defaultRowHeight="18" x14ac:dyDescent="0.45"/>
  <sheetData>
    <row r="2" spans="1:6" x14ac:dyDescent="0.45">
      <c r="A2" s="19" t="s">
        <v>10</v>
      </c>
      <c r="B2" s="19"/>
      <c r="C2" s="22" t="str">
        <f ca="1">RIGHT(CELL("filename",A1),LEN(CELL("filename",A1))-FIND("]",CELL("filename",A1)))</f>
        <v>BGM</v>
      </c>
      <c r="D2" s="23"/>
      <c r="E2" s="23"/>
      <c r="F2" s="24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</sheetData>
  <customSheetViews>
    <customSheetView guid="{51D8410D-35A1-408D-84BF-E43D7B0E3C94}">
      <selection activeCell="M4" sqref="M4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F4"/>
  <sheetViews>
    <sheetView workbookViewId="0">
      <selection activeCell="C13" sqref="C13"/>
    </sheetView>
  </sheetViews>
  <sheetFormatPr defaultRowHeight="18" x14ac:dyDescent="0.45"/>
  <sheetData>
    <row r="2" spans="1:6" x14ac:dyDescent="0.45">
      <c r="A2" s="19" t="s">
        <v>10</v>
      </c>
      <c r="B2" s="19"/>
      <c r="C2" s="16" t="s">
        <v>11</v>
      </c>
      <c r="D2" s="16"/>
      <c r="E2" s="16"/>
      <c r="F2" s="16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</sheetData>
  <customSheetViews>
    <customSheetView guid="{51D8410D-35A1-408D-84BF-E43D7B0E3C94}">
      <selection activeCell="A2" sqref="A2:F5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F4"/>
  <sheetViews>
    <sheetView workbookViewId="0"/>
  </sheetViews>
  <sheetFormatPr defaultRowHeight="18" x14ac:dyDescent="0.45"/>
  <sheetData>
    <row r="2" spans="1:6" x14ac:dyDescent="0.45">
      <c r="A2" s="19" t="s">
        <v>10</v>
      </c>
      <c r="B2" s="19"/>
      <c r="C2" s="16" t="s">
        <v>11</v>
      </c>
      <c r="D2" s="16"/>
      <c r="E2" s="16"/>
      <c r="F2" s="16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</sheetData>
  <customSheetViews>
    <customSheetView guid="{51D8410D-35A1-408D-84BF-E43D7B0E3C94}">
      <selection activeCell="C9" sqref="C9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"/>
  <sheetViews>
    <sheetView workbookViewId="0">
      <selection activeCell="C5" sqref="C5"/>
    </sheetView>
  </sheetViews>
  <sheetFormatPr defaultRowHeight="18" x14ac:dyDescent="0.45"/>
  <sheetData>
    <row r="2" spans="1:6" x14ac:dyDescent="0.45">
      <c r="A2" s="19" t="s">
        <v>10</v>
      </c>
      <c r="B2" s="19"/>
      <c r="C2" s="22" t="str">
        <f ca="1">RIGHT(CELL("filename",A1),LEN(CELL("filename",A1))-FIND("]",CELL("filename",A1)))</f>
        <v>モーション</v>
      </c>
      <c r="D2" s="23"/>
      <c r="E2" s="23"/>
      <c r="F2" s="24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</sheetData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4"/>
  <sheetViews>
    <sheetView workbookViewId="0">
      <selection activeCell="C24" sqref="C24"/>
    </sheetView>
  </sheetViews>
  <sheetFormatPr defaultRowHeight="18" x14ac:dyDescent="0.45"/>
  <sheetData>
    <row r="2" spans="1:6" x14ac:dyDescent="0.45">
      <c r="A2" s="19" t="s">
        <v>10</v>
      </c>
      <c r="B2" s="19"/>
      <c r="C2" s="22" t="str">
        <f ca="1">RIGHT(CELL("filename",A1),LEN(CELL("filename",A1))-FIND("]",CELL("filename",A1)))</f>
        <v>効果音</v>
      </c>
      <c r="D2" s="23"/>
      <c r="E2" s="23"/>
      <c r="F2" s="24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</sheetData>
  <customSheetViews>
    <customSheetView guid="{51D8410D-35A1-408D-84BF-E43D7B0E3C94}">
      <selection activeCell="A2" sqref="A2:F5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"/>
  <sheetViews>
    <sheetView tabSelected="1" workbookViewId="0">
      <selection activeCell="O8" sqref="O8:P8"/>
    </sheetView>
  </sheetViews>
  <sheetFormatPr defaultRowHeight="18" x14ac:dyDescent="0.45"/>
  <cols>
    <col min="1" max="1" width="11" customWidth="1"/>
  </cols>
  <sheetData>
    <row r="2" spans="1:6" x14ac:dyDescent="0.45">
      <c r="A2" s="19" t="s">
        <v>10</v>
      </c>
      <c r="B2" s="19"/>
      <c r="C2" s="22" t="str">
        <f ca="1">RIGHT(CELL("filename",A1),LEN(CELL("filename",A1))-FIND("]",CELL("filename",A1)))</f>
        <v>リスト</v>
      </c>
      <c r="D2" s="23"/>
      <c r="E2" s="23"/>
      <c r="F2" s="24"/>
    </row>
    <row r="3" spans="1:6" x14ac:dyDescent="0.45">
      <c r="A3" s="19" t="s">
        <v>5</v>
      </c>
      <c r="B3" s="19"/>
      <c r="C3" s="16" t="s">
        <v>7</v>
      </c>
      <c r="D3" s="16"/>
      <c r="E3" s="16"/>
      <c r="F3" s="16"/>
    </row>
    <row r="4" spans="1:6" x14ac:dyDescent="0.45">
      <c r="A4" s="19" t="s">
        <v>6</v>
      </c>
      <c r="B4" s="19"/>
      <c r="C4" s="17">
        <v>44124</v>
      </c>
      <c r="D4" s="17"/>
      <c r="E4" s="17"/>
      <c r="F4" s="17"/>
    </row>
    <row r="6" spans="1:6" x14ac:dyDescent="0.45">
      <c r="A6" s="3" t="s">
        <v>35</v>
      </c>
      <c r="B6" s="43" t="s">
        <v>36</v>
      </c>
      <c r="C6" s="3" t="s">
        <v>10</v>
      </c>
      <c r="D6" s="3"/>
      <c r="E6" s="3" t="s">
        <v>10</v>
      </c>
      <c r="F6" s="3"/>
    </row>
    <row r="7" spans="1:6" x14ac:dyDescent="0.45">
      <c r="A7" s="27" t="s">
        <v>37</v>
      </c>
    </row>
    <row r="8" spans="1:6" x14ac:dyDescent="0.45">
      <c r="A8" s="27" t="s">
        <v>38</v>
      </c>
    </row>
    <row r="9" spans="1:6" x14ac:dyDescent="0.45">
      <c r="A9" s="27" t="s">
        <v>39</v>
      </c>
    </row>
    <row r="10" spans="1:6" x14ac:dyDescent="0.45">
      <c r="A10" s="27" t="s">
        <v>40</v>
      </c>
    </row>
    <row r="11" spans="1:6" x14ac:dyDescent="0.45">
      <c r="A11" s="27" t="s">
        <v>41</v>
      </c>
    </row>
    <row r="12" spans="1:6" x14ac:dyDescent="0.45">
      <c r="A12" s="27" t="s">
        <v>42</v>
      </c>
    </row>
  </sheetData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仕様書</vt:lpstr>
      <vt:lpstr>プログラム</vt:lpstr>
      <vt:lpstr>ツール</vt:lpstr>
      <vt:lpstr>モデル</vt:lpstr>
      <vt:lpstr>BGM</vt:lpstr>
      <vt:lpstr>テクスチャ</vt:lpstr>
      <vt:lpstr>UI</vt:lpstr>
      <vt:lpstr>モーション</vt:lpstr>
      <vt:lpstr>効果音</vt:lpstr>
      <vt:lpstr>リスト</vt:lpstr>
      <vt:lpstr>状況</vt:lpstr>
      <vt:lpstr>達成率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gsp029</dc:creator>
  <cp:lastModifiedBy>gsp012</cp:lastModifiedBy>
  <dcterms:created xsi:type="dcterms:W3CDTF">2020-10-19T05:07:01Z</dcterms:created>
  <dcterms:modified xsi:type="dcterms:W3CDTF">2020-10-22T07:42:42Z</dcterms:modified>
</cp:coreProperties>
</file>