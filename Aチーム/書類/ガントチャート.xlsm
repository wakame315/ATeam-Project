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sp012\Desktop\ATeam-Project\Aチーム\書類\"/>
    </mc:Choice>
  </mc:AlternateContent>
  <bookViews>
    <workbookView xWindow="0" yWindow="0" windowWidth="23040" windowHeight="8376" activeTab="3"/>
  </bookViews>
  <sheets>
    <sheet name="ガントチャート" sheetId="1" r:id="rId1"/>
    <sheet name="ゲームプログラム" sheetId="7" r:id="rId2"/>
    <sheet name="ツール" sheetId="12" r:id="rId3"/>
    <sheet name="モデル" sheetId="22" r:id="rId4"/>
    <sheet name="BGM" sheetId="21" r:id="rId5"/>
    <sheet name="SE" sheetId="20" r:id="rId6"/>
    <sheet name="テクスチャ" sheetId="26" r:id="rId7"/>
    <sheet name="UI" sheetId="19" r:id="rId8"/>
    <sheet name="モーション" sheetId="25" r:id="rId9"/>
    <sheet name="リスト" sheetId="11" r:id="rId10"/>
  </sheets>
  <functionGroups builtInGroupCount="18"/>
  <definedNames>
    <definedName name="_xlnm._FilterDatabase" localSheetId="0" hidden="1">ガントチャート!$A$7:$G$15</definedName>
    <definedName name="状況" localSheetId="4">BGM!$I$3:$I$7</definedName>
    <definedName name="状況" localSheetId="5">SE!$I$3:$I$7</definedName>
    <definedName name="状況" localSheetId="7">UI!$I$3:$I$7</definedName>
    <definedName name="状況" localSheetId="2">ツール!$I$3:$I$7</definedName>
    <definedName name="状況" localSheetId="6">テクスチャ!$I$3:$I$7</definedName>
    <definedName name="状況" localSheetId="8">モーション!$I$3:$I$7</definedName>
    <definedName name="状況" localSheetId="3">モデル!$I$3:$I$7</definedName>
    <definedName name="状況">ゲームプログラム!$I$3:$I$7</definedName>
    <definedName name="達成率" localSheetId="4">BGM!$H$3:$H$7</definedName>
    <definedName name="達成率" localSheetId="5">SE!$H$3:$H$7</definedName>
    <definedName name="達成率" localSheetId="7">UI!$H$3:$H$7</definedName>
    <definedName name="達成率" localSheetId="2">ツール!$H$3:$H$7</definedName>
    <definedName name="達成率" localSheetId="6">テクスチャ!$H$3:$H$7</definedName>
    <definedName name="達成率" localSheetId="8">モーション!$H$3:$H$7</definedName>
    <definedName name="達成率" localSheetId="3">モデル!$H$3:$H$7</definedName>
    <definedName name="達成率">ゲームプログラム!$H$3:$H$7</definedName>
  </definedNames>
  <calcPr calcId="162913"/>
  <customWorkbookViews>
    <customWorkbookView name="gsp029 - 個人用ビュー" guid="{51D8410D-35A1-408D-84BF-E43D7B0E3C94}" mergeInterval="0" personalView="1" maximized="1" xWindow="-9" yWindow="-9" windowWidth="1938" windowHeight="1048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20" l="1"/>
  <c r="D21" i="20"/>
  <c r="D22" i="20"/>
  <c r="D23" i="20"/>
  <c r="D24" i="20"/>
  <c r="D25" i="20"/>
  <c r="D26" i="20"/>
  <c r="D27" i="20"/>
  <c r="D28" i="20"/>
  <c r="D29" i="20"/>
  <c r="D30" i="20"/>
  <c r="F20" i="20"/>
  <c r="F21" i="20"/>
  <c r="F22" i="20"/>
  <c r="F23" i="20"/>
  <c r="F24" i="20"/>
  <c r="F25" i="20"/>
  <c r="F26" i="20"/>
  <c r="F27" i="20"/>
  <c r="F28" i="20"/>
  <c r="F29" i="20"/>
  <c r="F30" i="20"/>
  <c r="F20" i="22"/>
  <c r="F21" i="22"/>
  <c r="F22" i="22"/>
  <c r="D21" i="22"/>
  <c r="D22" i="22"/>
  <c r="D20" i="22"/>
  <c r="F19" i="26"/>
  <c r="D19" i="26"/>
  <c r="F18" i="26"/>
  <c r="D18" i="26"/>
  <c r="F17" i="26"/>
  <c r="D17" i="26"/>
  <c r="F16" i="26"/>
  <c r="D16" i="26"/>
  <c r="F15" i="26"/>
  <c r="D15" i="26"/>
  <c r="F14" i="26"/>
  <c r="D14" i="26"/>
  <c r="F13" i="26"/>
  <c r="D13" i="26"/>
  <c r="F12" i="26"/>
  <c r="D12" i="26"/>
  <c r="F11" i="26"/>
  <c r="D11" i="26"/>
  <c r="F10" i="26"/>
  <c r="D10" i="26"/>
  <c r="F9" i="26"/>
  <c r="D9" i="26"/>
  <c r="F8" i="26"/>
  <c r="D8" i="26"/>
  <c r="F7" i="26"/>
  <c r="D7" i="26"/>
  <c r="C2" i="26"/>
  <c r="F19" i="25"/>
  <c r="D19" i="25"/>
  <c r="F18" i="25"/>
  <c r="D18" i="25"/>
  <c r="F17" i="25"/>
  <c r="D17" i="25"/>
  <c r="F16" i="25"/>
  <c r="D16" i="25"/>
  <c r="F15" i="25"/>
  <c r="D15" i="25"/>
  <c r="F14" i="25"/>
  <c r="D14" i="25"/>
  <c r="F13" i="25"/>
  <c r="D13" i="25"/>
  <c r="F12" i="25"/>
  <c r="D12" i="25"/>
  <c r="F11" i="25"/>
  <c r="D11" i="25"/>
  <c r="F10" i="25"/>
  <c r="D10" i="25"/>
  <c r="F9" i="25"/>
  <c r="D9" i="25"/>
  <c r="F8" i="25"/>
  <c r="D8" i="25"/>
  <c r="F7" i="25"/>
  <c r="D7" i="25"/>
  <c r="C2" i="25"/>
  <c r="F19" i="22"/>
  <c r="D19" i="22"/>
  <c r="F18" i="22"/>
  <c r="D18" i="22"/>
  <c r="F17" i="22"/>
  <c r="D17" i="22"/>
  <c r="F16" i="22"/>
  <c r="D16" i="22"/>
  <c r="F15" i="22"/>
  <c r="D15" i="22"/>
  <c r="F14" i="22"/>
  <c r="D14" i="22"/>
  <c r="F13" i="22"/>
  <c r="D13" i="22"/>
  <c r="F12" i="22"/>
  <c r="D12" i="22"/>
  <c r="F11" i="22"/>
  <c r="D11" i="22"/>
  <c r="F10" i="22"/>
  <c r="D10" i="22"/>
  <c r="F9" i="22"/>
  <c r="D9" i="22"/>
  <c r="F8" i="22"/>
  <c r="D8" i="22"/>
  <c r="F7" i="22"/>
  <c r="D7" i="22"/>
  <c r="C2" i="22"/>
  <c r="F19" i="21"/>
  <c r="D19" i="21"/>
  <c r="F18" i="21"/>
  <c r="D18" i="21"/>
  <c r="F17" i="21"/>
  <c r="D17" i="21"/>
  <c r="F16" i="21"/>
  <c r="D16" i="21"/>
  <c r="F15" i="21"/>
  <c r="D15" i="21"/>
  <c r="F14" i="21"/>
  <c r="D14" i="21"/>
  <c r="F13" i="21"/>
  <c r="D13" i="21"/>
  <c r="F12" i="21"/>
  <c r="D12" i="21"/>
  <c r="F11" i="21"/>
  <c r="D11" i="21"/>
  <c r="F10" i="21"/>
  <c r="D10" i="21"/>
  <c r="F9" i="21"/>
  <c r="D9" i="21"/>
  <c r="F8" i="21"/>
  <c r="D8" i="21"/>
  <c r="F7" i="21"/>
  <c r="D7" i="21"/>
  <c r="C2" i="21"/>
  <c r="F19" i="20"/>
  <c r="D19" i="20"/>
  <c r="F18" i="20"/>
  <c r="D18" i="20"/>
  <c r="F17" i="20"/>
  <c r="D17" i="20"/>
  <c r="F16" i="20"/>
  <c r="D16" i="20"/>
  <c r="F15" i="20"/>
  <c r="D15" i="20"/>
  <c r="F14" i="20"/>
  <c r="D14" i="20"/>
  <c r="F13" i="20"/>
  <c r="D13" i="20"/>
  <c r="F12" i="20"/>
  <c r="D12" i="20"/>
  <c r="F11" i="20"/>
  <c r="D11" i="20"/>
  <c r="F10" i="20"/>
  <c r="D10" i="20"/>
  <c r="F9" i="20"/>
  <c r="D9" i="20"/>
  <c r="F8" i="20"/>
  <c r="D8" i="20"/>
  <c r="F7" i="20"/>
  <c r="D7" i="20"/>
  <c r="C2" i="20"/>
  <c r="F19" i="19"/>
  <c r="D19" i="19"/>
  <c r="F18" i="19"/>
  <c r="D18" i="19"/>
  <c r="F17" i="19"/>
  <c r="D17" i="19"/>
  <c r="F16" i="19"/>
  <c r="D16" i="19"/>
  <c r="F15" i="19"/>
  <c r="D15" i="19"/>
  <c r="F14" i="19"/>
  <c r="D14" i="19"/>
  <c r="F13" i="19"/>
  <c r="D13" i="19"/>
  <c r="F12" i="19"/>
  <c r="D12" i="19"/>
  <c r="F11" i="19"/>
  <c r="D11" i="19"/>
  <c r="F10" i="19"/>
  <c r="D10" i="19"/>
  <c r="F9" i="19"/>
  <c r="D9" i="19"/>
  <c r="F8" i="19"/>
  <c r="D8" i="19"/>
  <c r="F7" i="19"/>
  <c r="D7" i="19"/>
  <c r="C2" i="19"/>
  <c r="F19" i="12"/>
  <c r="D19" i="12"/>
  <c r="F18" i="12"/>
  <c r="D18" i="12"/>
  <c r="F17" i="12"/>
  <c r="D17" i="12"/>
  <c r="F16" i="12"/>
  <c r="D16" i="12"/>
  <c r="F15" i="12"/>
  <c r="D15" i="12"/>
  <c r="F14" i="12"/>
  <c r="D14" i="12"/>
  <c r="F13" i="12"/>
  <c r="D13" i="12"/>
  <c r="F12" i="12"/>
  <c r="D12" i="12"/>
  <c r="F11" i="12"/>
  <c r="D11" i="12"/>
  <c r="F10" i="12"/>
  <c r="D10" i="12"/>
  <c r="F9" i="12"/>
  <c r="D9" i="12"/>
  <c r="F8" i="12"/>
  <c r="D8" i="12"/>
  <c r="F7" i="12"/>
  <c r="D7" i="12"/>
  <c r="C2" i="12"/>
  <c r="F19" i="7"/>
  <c r="F7" i="7"/>
  <c r="F8" i="7"/>
  <c r="F9" i="7"/>
  <c r="F10" i="7"/>
  <c r="F11" i="7"/>
  <c r="F12" i="7"/>
  <c r="F13" i="7"/>
  <c r="F14" i="7"/>
  <c r="F15" i="7"/>
  <c r="F16" i="7"/>
  <c r="F17" i="7"/>
  <c r="F18" i="7"/>
  <c r="C2" i="11" l="1"/>
  <c r="D18" i="7"/>
  <c r="D19" i="7"/>
  <c r="D7" i="7"/>
  <c r="D8" i="7"/>
  <c r="D9" i="7"/>
  <c r="D10" i="7"/>
  <c r="D11" i="7"/>
  <c r="D12" i="7"/>
  <c r="D13" i="7"/>
  <c r="D14" i="7"/>
  <c r="D15" i="7"/>
  <c r="D16" i="7"/>
  <c r="D17" i="7"/>
  <c r="D8" i="1"/>
  <c r="D20" i="1"/>
  <c r="D19" i="1"/>
  <c r="D18" i="1"/>
  <c r="D17" i="1"/>
  <c r="D16" i="1"/>
  <c r="D15" i="1"/>
  <c r="D14" i="1"/>
  <c r="D13" i="1"/>
  <c r="D12" i="1"/>
  <c r="D11" i="1"/>
  <c r="D10" i="1"/>
  <c r="D9" i="1"/>
  <c r="C2" i="7" l="1"/>
  <c r="C5" i="1"/>
</calcChain>
</file>

<file path=xl/sharedStrings.xml><?xml version="1.0" encoding="utf-8"?>
<sst xmlns="http://schemas.openxmlformats.org/spreadsheetml/2006/main" count="388" uniqueCount="107">
  <si>
    <t>ゲームジャンル</t>
    <phoneticPr fontId="1"/>
  </si>
  <si>
    <t>使用言語</t>
    <rPh sb="0" eb="2">
      <t>シヨウ</t>
    </rPh>
    <rPh sb="2" eb="4">
      <t>ゲンゴ</t>
    </rPh>
    <phoneticPr fontId="1"/>
  </si>
  <si>
    <t>タイトル</t>
    <phoneticPr fontId="1"/>
  </si>
  <si>
    <t>TPS,アクション</t>
    <phoneticPr fontId="1"/>
  </si>
  <si>
    <t>C++</t>
    <phoneticPr fontId="1"/>
  </si>
  <si>
    <t>作成者</t>
    <rPh sb="0" eb="3">
      <t>サクセイシャ</t>
    </rPh>
    <phoneticPr fontId="1"/>
  </si>
  <si>
    <t>作成日</t>
    <rPh sb="0" eb="3">
      <t>サクセイビ</t>
    </rPh>
    <phoneticPr fontId="1"/>
  </si>
  <si>
    <t>樋宮 匠、齋藤 大行</t>
    <rPh sb="0" eb="2">
      <t>ヒミヤ</t>
    </rPh>
    <rPh sb="3" eb="4">
      <t>ショウ</t>
    </rPh>
    <rPh sb="5" eb="7">
      <t>サイトウ</t>
    </rPh>
    <rPh sb="6" eb="7">
      <t>フジ</t>
    </rPh>
    <rPh sb="8" eb="9">
      <t>ダイ</t>
    </rPh>
    <rPh sb="9" eb="10">
      <t>ギョウ</t>
    </rPh>
    <phoneticPr fontId="1"/>
  </si>
  <si>
    <t>シート一覧</t>
    <rPh sb="3" eb="5">
      <t>イチラン</t>
    </rPh>
    <phoneticPr fontId="1"/>
  </si>
  <si>
    <t>No</t>
    <phoneticPr fontId="1"/>
  </si>
  <si>
    <t>シート名</t>
    <rPh sb="3" eb="4">
      <t>メイ</t>
    </rPh>
    <phoneticPr fontId="1"/>
  </si>
  <si>
    <t>モデル</t>
    <phoneticPr fontId="1"/>
  </si>
  <si>
    <t>BGM</t>
    <phoneticPr fontId="1"/>
  </si>
  <si>
    <t>テクスチャ</t>
    <phoneticPr fontId="1"/>
  </si>
  <si>
    <t>最終更新日</t>
    <rPh sb="0" eb="2">
      <t>サイシュウ</t>
    </rPh>
    <rPh sb="2" eb="5">
      <t>コウシンビ</t>
    </rPh>
    <phoneticPr fontId="1"/>
  </si>
  <si>
    <t>プログラム</t>
    <phoneticPr fontId="1"/>
  </si>
  <si>
    <t>モーション</t>
    <phoneticPr fontId="1"/>
  </si>
  <si>
    <t>UI</t>
    <phoneticPr fontId="1"/>
  </si>
  <si>
    <t>　</t>
  </si>
  <si>
    <t>日本防衛軍(仮)</t>
    <rPh sb="0" eb="2">
      <t>ニホン</t>
    </rPh>
    <rPh sb="2" eb="4">
      <t>ボウエイ</t>
    </rPh>
    <rPh sb="4" eb="5">
      <t>グン</t>
    </rPh>
    <rPh sb="6" eb="7">
      <t>カリ</t>
    </rPh>
    <phoneticPr fontId="1"/>
  </si>
  <si>
    <t>開始日</t>
    <rPh sb="0" eb="3">
      <t>カイシビ</t>
    </rPh>
    <phoneticPr fontId="1"/>
  </si>
  <si>
    <t>担当者</t>
    <rPh sb="0" eb="3">
      <t>タントウシャ</t>
    </rPh>
    <phoneticPr fontId="1"/>
  </si>
  <si>
    <t>タスク</t>
    <phoneticPr fontId="1"/>
  </si>
  <si>
    <t>達成率</t>
    <rPh sb="0" eb="3">
      <t>タッセイリツ</t>
    </rPh>
    <phoneticPr fontId="1"/>
  </si>
  <si>
    <t>凡例:</t>
    <rPh sb="0" eb="1">
      <t>ボン</t>
    </rPh>
    <rPh sb="1" eb="2">
      <t>レイ</t>
    </rPh>
    <phoneticPr fontId="1"/>
  </si>
  <si>
    <t>状況</t>
    <rPh sb="0" eb="2">
      <t>ジョウキョウ</t>
    </rPh>
    <phoneticPr fontId="1"/>
  </si>
  <si>
    <t>危険</t>
    <rPh sb="0" eb="2">
      <t>キケン</t>
    </rPh>
    <phoneticPr fontId="1"/>
  </si>
  <si>
    <t>完了</t>
    <rPh sb="0" eb="2">
      <t>カンリョウ</t>
    </rPh>
    <phoneticPr fontId="1"/>
  </si>
  <si>
    <t>順調</t>
    <rPh sb="0" eb="2">
      <t>ジュンチョウ</t>
    </rPh>
    <phoneticPr fontId="1"/>
  </si>
  <si>
    <t>注意</t>
    <rPh sb="0" eb="2">
      <t>チュウイ</t>
    </rPh>
    <phoneticPr fontId="1"/>
  </si>
  <si>
    <t>未実装</t>
    <rPh sb="0" eb="3">
      <t>ミジッソウ</t>
    </rPh>
    <phoneticPr fontId="1"/>
  </si>
  <si>
    <t>名前</t>
    <rPh sb="0" eb="2">
      <t>ナマエ</t>
    </rPh>
    <phoneticPr fontId="1"/>
  </si>
  <si>
    <t>状況</t>
    <rPh sb="0" eb="2">
      <t>ジョウキョウ</t>
    </rPh>
    <phoneticPr fontId="1"/>
  </si>
  <si>
    <t>後藤慎之介</t>
    <rPh sb="0" eb="2">
      <t>ゴトウ</t>
    </rPh>
    <rPh sb="2" eb="5">
      <t>シンノスケ</t>
    </rPh>
    <phoneticPr fontId="1"/>
  </si>
  <si>
    <t>鈴木爽太</t>
    <rPh sb="0" eb="2">
      <t>スズキ</t>
    </rPh>
    <rPh sb="2" eb="4">
      <t>ソウタ</t>
    </rPh>
    <phoneticPr fontId="1"/>
  </si>
  <si>
    <t>樋宮匠</t>
    <rPh sb="0" eb="2">
      <t>ヒミヤ</t>
    </rPh>
    <rPh sb="2" eb="3">
      <t>タクミ</t>
    </rPh>
    <phoneticPr fontId="1"/>
  </si>
  <si>
    <t>東村哲士</t>
    <rPh sb="0" eb="2">
      <t>ヒガシムラ</t>
    </rPh>
    <rPh sb="2" eb="3">
      <t>サトシ</t>
    </rPh>
    <rPh sb="3" eb="4">
      <t>シ</t>
    </rPh>
    <phoneticPr fontId="1"/>
  </si>
  <si>
    <t>小熊朗</t>
    <rPh sb="0" eb="2">
      <t>オグマ</t>
    </rPh>
    <rPh sb="2" eb="3">
      <t>アキラ</t>
    </rPh>
    <phoneticPr fontId="1"/>
  </si>
  <si>
    <t>齋藤大行</t>
    <rPh sb="0" eb="4">
      <t>サイトウヒロユキ</t>
    </rPh>
    <phoneticPr fontId="1"/>
  </si>
  <si>
    <t>未決定</t>
    <rPh sb="0" eb="3">
      <t>ミケッテイ</t>
    </rPh>
    <phoneticPr fontId="1"/>
  </si>
  <si>
    <t>ツール</t>
    <phoneticPr fontId="1"/>
  </si>
  <si>
    <t>SE</t>
    <phoneticPr fontId="1"/>
  </si>
  <si>
    <t>プレイヤーの移動</t>
    <rPh sb="6" eb="8">
      <t>イドウ</t>
    </rPh>
    <phoneticPr fontId="1"/>
  </si>
  <si>
    <t>敵のIA</t>
    <rPh sb="0" eb="1">
      <t>テキ</t>
    </rPh>
    <phoneticPr fontId="1"/>
  </si>
  <si>
    <t>敵の攻撃バターン</t>
    <rPh sb="0" eb="1">
      <t>テキ</t>
    </rPh>
    <rPh sb="2" eb="4">
      <t>コウゲキ</t>
    </rPh>
    <phoneticPr fontId="1"/>
  </si>
  <si>
    <t>プレイヤーの攻撃</t>
    <rPh sb="6" eb="8">
      <t>コウゲキ</t>
    </rPh>
    <phoneticPr fontId="1"/>
  </si>
  <si>
    <t>イベント</t>
    <phoneticPr fontId="1"/>
  </si>
  <si>
    <t>マップ</t>
    <phoneticPr fontId="1"/>
  </si>
  <si>
    <t>プレイヤーの当たり判定（オブジェクト）</t>
    <rPh sb="6" eb="7">
      <t>ア</t>
    </rPh>
    <rPh sb="9" eb="11">
      <t>ハンテイ</t>
    </rPh>
    <phoneticPr fontId="1"/>
  </si>
  <si>
    <t>プレイヤーの当たり判定（敵）</t>
    <rPh sb="6" eb="7">
      <t>ア</t>
    </rPh>
    <rPh sb="9" eb="11">
      <t>ハンテイ</t>
    </rPh>
    <rPh sb="12" eb="13">
      <t>テキ</t>
    </rPh>
    <phoneticPr fontId="1"/>
  </si>
  <si>
    <t>バージョン1.1</t>
    <phoneticPr fontId="1"/>
  </si>
  <si>
    <t>プレイヤー</t>
    <phoneticPr fontId="1"/>
  </si>
  <si>
    <t>敵(人)</t>
    <rPh sb="0" eb="1">
      <t>テキ</t>
    </rPh>
    <rPh sb="2" eb="3">
      <t>ヒト</t>
    </rPh>
    <phoneticPr fontId="1"/>
  </si>
  <si>
    <t>敵(蟻)</t>
    <rPh sb="0" eb="1">
      <t>テキ</t>
    </rPh>
    <rPh sb="2" eb="3">
      <t>アリ</t>
    </rPh>
    <phoneticPr fontId="1"/>
  </si>
  <si>
    <t>敵(蜘蛛)</t>
    <rPh sb="0" eb="1">
      <t>テキ</t>
    </rPh>
    <rPh sb="2" eb="4">
      <t>クモ</t>
    </rPh>
    <phoneticPr fontId="1"/>
  </si>
  <si>
    <t>敵(UFO大)</t>
    <rPh sb="0" eb="1">
      <t>テキ</t>
    </rPh>
    <rPh sb="5" eb="6">
      <t>ダイ</t>
    </rPh>
    <phoneticPr fontId="1"/>
  </si>
  <si>
    <t>敵(UFO小)</t>
    <rPh sb="0" eb="1">
      <t>テキ</t>
    </rPh>
    <rPh sb="5" eb="6">
      <t>ショウ</t>
    </rPh>
    <phoneticPr fontId="1"/>
  </si>
  <si>
    <t>怪獣</t>
    <rPh sb="0" eb="2">
      <t>カイジュウ</t>
    </rPh>
    <phoneticPr fontId="1"/>
  </si>
  <si>
    <t>ビル</t>
    <phoneticPr fontId="1"/>
  </si>
  <si>
    <t>街灯</t>
    <rPh sb="0" eb="2">
      <t>ガイトウ</t>
    </rPh>
    <phoneticPr fontId="1"/>
  </si>
  <si>
    <t>ゴミ箱(大)</t>
    <rPh sb="2" eb="3">
      <t>バコ</t>
    </rPh>
    <rPh sb="4" eb="5">
      <t>ダイ</t>
    </rPh>
    <phoneticPr fontId="1"/>
  </si>
  <si>
    <t>ゴミ箱(小)</t>
    <rPh sb="2" eb="3">
      <t>バコ</t>
    </rPh>
    <rPh sb="4" eb="5">
      <t>ショウ</t>
    </rPh>
    <phoneticPr fontId="1"/>
  </si>
  <si>
    <t>信号機</t>
    <rPh sb="0" eb="3">
      <t>シンゴウキ</t>
    </rPh>
    <phoneticPr fontId="1"/>
  </si>
  <si>
    <t>テレビ塔</t>
    <rPh sb="3" eb="4">
      <t>トウ</t>
    </rPh>
    <phoneticPr fontId="1"/>
  </si>
  <si>
    <t>オブジェクトエディット</t>
    <phoneticPr fontId="1"/>
  </si>
  <si>
    <t>カメラ動作</t>
    <rPh sb="3" eb="5">
      <t>ドウサ</t>
    </rPh>
    <phoneticPr fontId="1"/>
  </si>
  <si>
    <t>データセーブ</t>
    <phoneticPr fontId="1"/>
  </si>
  <si>
    <t>データロード</t>
    <phoneticPr fontId="1"/>
  </si>
  <si>
    <t>バージョン1.0</t>
    <phoneticPr fontId="1"/>
  </si>
  <si>
    <t>体力</t>
    <rPh sb="0" eb="2">
      <t>タイリョク</t>
    </rPh>
    <phoneticPr fontId="1"/>
  </si>
  <si>
    <t>スコア</t>
    <phoneticPr fontId="1"/>
  </si>
  <si>
    <t>制限時間</t>
    <rPh sb="0" eb="2">
      <t>セイゲン</t>
    </rPh>
    <rPh sb="2" eb="4">
      <t>ジカン</t>
    </rPh>
    <phoneticPr fontId="1"/>
  </si>
  <si>
    <t>残弾</t>
    <rPh sb="0" eb="1">
      <t>ザン</t>
    </rPh>
    <rPh sb="1" eb="2">
      <t>ダン</t>
    </rPh>
    <phoneticPr fontId="1"/>
  </si>
  <si>
    <t>ミニマップ</t>
    <phoneticPr fontId="1"/>
  </si>
  <si>
    <t>ガードレール</t>
    <phoneticPr fontId="1"/>
  </si>
  <si>
    <t>木</t>
    <rPh sb="0" eb="1">
      <t>キ</t>
    </rPh>
    <phoneticPr fontId="1"/>
  </si>
  <si>
    <t>リザルト</t>
    <phoneticPr fontId="1"/>
  </si>
  <si>
    <t>ゲーム</t>
    <phoneticPr fontId="1"/>
  </si>
  <si>
    <t>プレイヤー射撃</t>
    <rPh sb="5" eb="7">
      <t>シャゲキ</t>
    </rPh>
    <phoneticPr fontId="1"/>
  </si>
  <si>
    <t>プレイヤー移動</t>
    <rPh sb="5" eb="7">
      <t>イドウ</t>
    </rPh>
    <phoneticPr fontId="1"/>
  </si>
  <si>
    <t>敵攻撃</t>
    <rPh sb="0" eb="1">
      <t>テキ</t>
    </rPh>
    <rPh sb="1" eb="3">
      <t>コウゲキ</t>
    </rPh>
    <phoneticPr fontId="1"/>
  </si>
  <si>
    <t>爆発</t>
    <rPh sb="0" eb="2">
      <t>バクハツ</t>
    </rPh>
    <phoneticPr fontId="1"/>
  </si>
  <si>
    <t>攻撃ヒット</t>
    <rPh sb="0" eb="2">
      <t>コウゲキ</t>
    </rPh>
    <phoneticPr fontId="1"/>
  </si>
  <si>
    <t>決定音</t>
    <rPh sb="0" eb="2">
      <t>ケッテイ</t>
    </rPh>
    <rPh sb="2" eb="3">
      <t>オン</t>
    </rPh>
    <phoneticPr fontId="1"/>
  </si>
  <si>
    <t>ポーズ</t>
    <phoneticPr fontId="1"/>
  </si>
  <si>
    <t>敵雄たけび</t>
    <rPh sb="0" eb="1">
      <t>テキ</t>
    </rPh>
    <rPh sb="1" eb="2">
      <t>オ</t>
    </rPh>
    <phoneticPr fontId="1"/>
  </si>
  <si>
    <t>選択</t>
    <rPh sb="0" eb="2">
      <t>センタク</t>
    </rPh>
    <phoneticPr fontId="1"/>
  </si>
  <si>
    <t>ビルが壊される</t>
    <rPh sb="3" eb="4">
      <t>コワ</t>
    </rPh>
    <phoneticPr fontId="1"/>
  </si>
  <si>
    <t>UFO</t>
    <phoneticPr fontId="1"/>
  </si>
  <si>
    <t>イベント</t>
    <phoneticPr fontId="1"/>
  </si>
  <si>
    <t>イベントクリア</t>
    <phoneticPr fontId="1"/>
  </si>
  <si>
    <t>ゲームオーバー</t>
    <phoneticPr fontId="1"/>
  </si>
  <si>
    <t>ゲームクリア</t>
    <phoneticPr fontId="1"/>
  </si>
  <si>
    <t>ボス戦闘</t>
    <rPh sb="2" eb="4">
      <t>セントウ</t>
    </rPh>
    <phoneticPr fontId="1"/>
  </si>
  <si>
    <t>裏ボス戦闘</t>
    <rPh sb="0" eb="1">
      <t>ウラ</t>
    </rPh>
    <rPh sb="3" eb="5">
      <t>セントウ</t>
    </rPh>
    <phoneticPr fontId="1"/>
  </si>
  <si>
    <t>マップ</t>
    <phoneticPr fontId="1"/>
  </si>
  <si>
    <t>UFO(大)</t>
    <rPh sb="4" eb="5">
      <t>ダイ</t>
    </rPh>
    <phoneticPr fontId="1"/>
  </si>
  <si>
    <t>UFO(小)</t>
    <rPh sb="4" eb="5">
      <t>ショウ</t>
    </rPh>
    <phoneticPr fontId="1"/>
  </si>
  <si>
    <t>タイトルロゴ</t>
    <phoneticPr fontId="1"/>
  </si>
  <si>
    <t>数字</t>
    <rPh sb="0" eb="2">
      <t>スウジ</t>
    </rPh>
    <phoneticPr fontId="1"/>
  </si>
  <si>
    <t>ランキングロゴ</t>
    <phoneticPr fontId="1"/>
  </si>
  <si>
    <t>プレスエンターロゴ</t>
    <phoneticPr fontId="1"/>
  </si>
  <si>
    <t>齋藤 大行</t>
    <rPh sb="0" eb="2">
      <t>サイトウ</t>
    </rPh>
    <rPh sb="1" eb="2">
      <t>フジ</t>
    </rPh>
    <rPh sb="3" eb="4">
      <t>ダイ</t>
    </rPh>
    <rPh sb="4" eb="5">
      <t>ギョウ</t>
    </rPh>
    <phoneticPr fontId="1"/>
  </si>
  <si>
    <t>齋藤 大行</t>
    <rPh sb="0" eb="2">
      <t>サイトウ</t>
    </rPh>
    <rPh sb="3" eb="4">
      <t>オオ</t>
    </rPh>
    <rPh sb="4" eb="5">
      <t>ギョウ</t>
    </rPh>
    <phoneticPr fontId="1"/>
  </si>
  <si>
    <t>アニメーション</t>
    <phoneticPr fontId="1"/>
  </si>
  <si>
    <t>レティクル</t>
    <phoneticPr fontId="1"/>
  </si>
  <si>
    <t>レティクル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</si>
</sst>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6" formatCode="&quot;¥&quot;#,##0;[Red]&quot;¥&quot;\-#,##0"/>
    <numFmt numFmtId="176" formatCode="[&lt;=999]000;[&lt;=9999]000\-00;000\-0000"/>
    <numFmt numFmtId="177" formatCode="yyyy/m/d\ h:mm;@"/>
  </numFmts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1"/>
      <name val="游ゴシック"/>
      <family val="2"/>
      <charset val="128"/>
      <scheme val="minor"/>
    </font>
    <font>
      <b/>
      <sz val="10"/>
      <color rgb="FF333333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6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2" fillId="0" borderId="3" xfId="1" applyBorder="1" applyAlignment="1">
      <alignment horizontal="center" vertical="center"/>
    </xf>
    <xf numFmtId="176" fontId="0" fillId="0" borderId="2" xfId="0" applyNumberFormat="1" applyBorder="1" applyAlignment="1">
      <alignment horizontal="left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76" fontId="0" fillId="0" borderId="6" xfId="0" applyNumberFormat="1" applyBorder="1" applyAlignment="1">
      <alignment horizontal="left" vertical="center"/>
    </xf>
    <xf numFmtId="14" fontId="0" fillId="0" borderId="0" xfId="0" applyNumberFormat="1" applyBorder="1" applyAlignment="1">
      <alignment vertical="center"/>
    </xf>
    <xf numFmtId="0" fontId="0" fillId="0" borderId="0" xfId="0" applyBorder="1" applyAlignment="1">
      <alignment vertical="center"/>
    </xf>
    <xf numFmtId="6" fontId="0" fillId="0" borderId="0" xfId="2" applyFont="1" applyBorder="1" applyAlignment="1">
      <alignment vertical="center"/>
    </xf>
    <xf numFmtId="0" fontId="2" fillId="0" borderId="8" xfId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9" fontId="6" fillId="0" borderId="1" xfId="3" applyFont="1" applyFill="1" applyBorder="1" applyAlignment="1">
      <alignment horizontal="center" vertical="center"/>
    </xf>
    <xf numFmtId="0" fontId="8" fillId="0" borderId="1" xfId="1" applyFont="1" applyBorder="1" applyAlignment="1">
      <alignment horizontal="center" vertical="center"/>
    </xf>
    <xf numFmtId="0" fontId="8" fillId="0" borderId="3" xfId="1" applyFont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9" fontId="0" fillId="0" borderId="0" xfId="0" applyNumberFormat="1">
      <alignment vertical="center"/>
    </xf>
    <xf numFmtId="0" fontId="5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3" borderId="9" xfId="4" applyFont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9" fontId="6" fillId="4" borderId="11" xfId="3" applyNumberFormat="1" applyFont="1" applyFill="1" applyBorder="1" applyAlignment="1">
      <alignment horizontal="center" vertical="center"/>
    </xf>
    <xf numFmtId="9" fontId="6" fillId="4" borderId="12" xfId="3" applyNumberFormat="1" applyFont="1" applyFill="1" applyBorder="1" applyAlignment="1">
      <alignment horizontal="center" vertical="center"/>
    </xf>
    <xf numFmtId="9" fontId="6" fillId="4" borderId="13" xfId="3" applyNumberFormat="1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0" fillId="0" borderId="17" xfId="0" applyFill="1" applyBorder="1">
      <alignment vertical="center"/>
    </xf>
    <xf numFmtId="0" fontId="2" fillId="0" borderId="0" xfId="1" applyAlignment="1">
      <alignment horizontal="center" vertical="center"/>
    </xf>
    <xf numFmtId="0" fontId="0" fillId="0" borderId="1" xfId="0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177" fontId="0" fillId="0" borderId="1" xfId="0" applyNumberFormat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</cellXfs>
  <cellStyles count="5">
    <cellStyle name="どちらでもない" xfId="4" builtinId="28"/>
    <cellStyle name="パーセント" xfId="3" builtinId="5"/>
    <cellStyle name="ハイパーリンク" xfId="1" builtinId="8"/>
    <cellStyle name="通貨" xfId="2" builtinId="7"/>
    <cellStyle name="標準" xfId="0" builtinId="0"/>
  </cellStyles>
  <dxfs count="128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/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76" formatCode="[&lt;=999]000;[&lt;=9999]000\-00;000\-0000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/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76" formatCode="[&lt;=999]000;[&lt;=9999]000\-00;000\-0000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/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76" formatCode="[&lt;=999]000;[&lt;=9999]000\-00;000\-0000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/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76" formatCode="[&lt;=999]000;[&lt;=9999]000\-00;000\-0000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/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76" formatCode="[&lt;=999]000;[&lt;=9999]000\-00;000\-0000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/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76" formatCode="[&lt;=999]000;[&lt;=9999]000\-00;000\-0000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/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76" formatCode="[&lt;=999]000;[&lt;=9999]000\-00;000\-0000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/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76" formatCode="[&lt;=999]000;[&lt;=9999]000\-00;000\-0000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numFmt numFmtId="19" formatCode="yyyy/m/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76" formatCode="[&lt;=999]000;[&lt;=9999]000\-00;000\-0000"/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FF00"/>
      <color rgb="FF00CC66"/>
      <color rgb="FF99FF66"/>
      <color rgb="FF66FF33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6" name="テーブル6" displayName="テーブル6" ref="A7:D20" totalsRowShown="0" headerRowDxfId="127" headerRowBorderDxfId="126" tableBorderDxfId="125" totalsRowBorderDxfId="124">
  <autoFilter ref="A7:D20"/>
  <tableColumns count="4">
    <tableColumn id="1" name="No" dataDxfId="123"/>
    <tableColumn id="2" name="シート名" dataDxfId="122" dataCellStyle="ハイパーリンク"/>
    <tableColumn id="3" name="作成者" dataDxfId="121"/>
    <tableColumn id="4" name="作成日" dataDxfId="120">
      <calculatedColumnFormula>IF(テーブル6[[#This Row],[シート名]] = "","",TODAY())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テーブル62" displayName="テーブル62" ref="A6:F19" totalsRowShown="0" headerRowDxfId="114" headerRowBorderDxfId="113" tableBorderDxfId="112" totalsRowBorderDxfId="111">
  <autoFilter ref="A6:F19"/>
  <sortState ref="A7:F19">
    <sortCondition ref="C6:C19"/>
  </sortState>
  <tableColumns count="6">
    <tableColumn id="1" name="No" dataDxfId="110"/>
    <tableColumn id="2" name="タスク" dataDxfId="109" dataCellStyle="ハイパーリンク"/>
    <tableColumn id="3" name="担当者" dataDxfId="108"/>
    <tableColumn id="4" name="開始日" dataDxfId="107">
      <calculatedColumnFormula>IF(テーブル62[[#This Row],[タスク]] = "","",TODAY())</calculatedColumnFormula>
    </tableColumn>
    <tableColumn id="5" name="達成率" dataDxfId="106"/>
    <tableColumn id="6" name="状況" dataDxfId="105">
      <calculatedColumnFormula>VLOOKUP(テーブル62[[#This Row],[達成率]],$H$3:$I$7,2,FALSE)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テーブル623" displayName="テーブル623" ref="A6:F19" totalsRowShown="0" headerRowDxfId="99" headerRowBorderDxfId="98" tableBorderDxfId="97" totalsRowBorderDxfId="96">
  <autoFilter ref="A6:F19"/>
  <sortState ref="A7:F19">
    <sortCondition ref="C6:C19"/>
  </sortState>
  <tableColumns count="6">
    <tableColumn id="1" name="No" dataDxfId="95"/>
    <tableColumn id="2" name="タスク" dataDxfId="94" dataCellStyle="ハイパーリンク"/>
    <tableColumn id="3" name="担当者" dataDxfId="93"/>
    <tableColumn id="4" name="開始日" dataDxfId="92">
      <calculatedColumnFormula>IF(テーブル623[[#This Row],[タスク]] = "","",TODAY())</calculatedColumnFormula>
    </tableColumn>
    <tableColumn id="5" name="達成率" dataDxfId="91"/>
    <tableColumn id="6" name="状況" dataDxfId="90">
      <calculatedColumnFormula>VLOOKUP(テーブル623[[#This Row],[達成率]],$H$3:$I$7,2,FALSE)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テーブル623568" displayName="テーブル623568" ref="A6:F22" totalsRowShown="0" headerRowDxfId="84" headerRowBorderDxfId="83" tableBorderDxfId="82" totalsRowBorderDxfId="81">
  <autoFilter ref="A6:F22"/>
  <sortState ref="A7:F19">
    <sortCondition ref="C6:C19"/>
  </sortState>
  <tableColumns count="6">
    <tableColumn id="1" name="No" dataDxfId="80"/>
    <tableColumn id="2" name="タスク" dataDxfId="79" dataCellStyle="ハイパーリンク"/>
    <tableColumn id="3" name="担当者" dataDxfId="78"/>
    <tableColumn id="4" name="開始日" dataDxfId="77">
      <calculatedColumnFormula>IF(テーブル623568[[#This Row],[タスク]] = "","",TODAY())</calculatedColumnFormula>
    </tableColumn>
    <tableColumn id="5" name="達成率" dataDxfId="76"/>
    <tableColumn id="6" name="状況" dataDxfId="75">
      <calculatedColumnFormula>VLOOKUP(テーブル623568[[#This Row],[達成率]],$H$3:$I$7,2,FALSE)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テーブル62356" displayName="テーブル62356" ref="A6:F19" totalsRowShown="0" headerRowDxfId="69" headerRowBorderDxfId="68" tableBorderDxfId="67" totalsRowBorderDxfId="66">
  <autoFilter ref="A6:F19"/>
  <sortState ref="A7:F19">
    <sortCondition ref="C6:C19"/>
  </sortState>
  <tableColumns count="6">
    <tableColumn id="1" name="No" dataDxfId="65"/>
    <tableColumn id="2" name="タスク" dataDxfId="64" dataCellStyle="ハイパーリンク"/>
    <tableColumn id="3" name="担当者" dataDxfId="63"/>
    <tableColumn id="4" name="開始日" dataDxfId="62">
      <calculatedColumnFormula>IF(テーブル62356[[#This Row],[タスク]] = "","",TODAY())</calculatedColumnFormula>
    </tableColumn>
    <tableColumn id="5" name="達成率" dataDxfId="61"/>
    <tableColumn id="6" name="状況" dataDxfId="60">
      <calculatedColumnFormula>VLOOKUP(テーブル62356[[#This Row],[達成率]],$H$3:$I$7,2,FALSE)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テーブル6235" displayName="テーブル6235" ref="A6:F30" totalsRowShown="0" headerRowDxfId="54" headerRowBorderDxfId="53" tableBorderDxfId="52" totalsRowBorderDxfId="51">
  <autoFilter ref="A6:F30"/>
  <sortState ref="A7:F19">
    <sortCondition ref="C6:C19"/>
  </sortState>
  <tableColumns count="6">
    <tableColumn id="1" name="No" dataDxfId="50"/>
    <tableColumn id="2" name="タスク" dataDxfId="49" dataCellStyle="ハイパーリンク"/>
    <tableColumn id="3" name="担当者" dataDxfId="48"/>
    <tableColumn id="4" name="開始日" dataDxfId="47">
      <calculatedColumnFormula>IF(テーブル6235[[#This Row],[タスク]] = "","",TODAY())</calculatedColumnFormula>
    </tableColumn>
    <tableColumn id="5" name="達成率" dataDxfId="46"/>
    <tableColumn id="6" name="状況" dataDxfId="45">
      <calculatedColumnFormula>VLOOKUP(テーブル6235[[#This Row],[達成率]],$H$3:$I$7,2,FALSE)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テーブル62341112" displayName="テーブル62341112" ref="A6:F19" totalsRowShown="0" headerRowDxfId="39" headerRowBorderDxfId="38" tableBorderDxfId="37" totalsRowBorderDxfId="36">
  <autoFilter ref="A6:F19"/>
  <sortState ref="A7:F19">
    <sortCondition ref="C6:C19"/>
  </sortState>
  <tableColumns count="6">
    <tableColumn id="1" name="No" dataDxfId="35"/>
    <tableColumn id="2" name="タスク" dataDxfId="34" dataCellStyle="ハイパーリンク"/>
    <tableColumn id="3" name="担当者" dataDxfId="33"/>
    <tableColumn id="4" name="開始日" dataDxfId="32">
      <calculatedColumnFormula>IF(テーブル62341112[[#This Row],[タスク]] = "","",TODAY())</calculatedColumnFormula>
    </tableColumn>
    <tableColumn id="5" name="達成率" dataDxfId="31"/>
    <tableColumn id="6" name="状況" dataDxfId="30">
      <calculatedColumnFormula>VLOOKUP(テーブル62341112[[#This Row],[達成率]],$H$3:$I$7,2,FALSE)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テーブル6234" displayName="テーブル6234" ref="A6:F19" totalsRowShown="0" headerRowDxfId="24" headerRowBorderDxfId="23" tableBorderDxfId="22" totalsRowBorderDxfId="21">
  <autoFilter ref="A6:F19"/>
  <sortState ref="A7:F19">
    <sortCondition ref="C6:C19"/>
  </sortState>
  <tableColumns count="6">
    <tableColumn id="1" name="No" dataDxfId="20"/>
    <tableColumn id="2" name="タスク" dataDxfId="19" dataCellStyle="ハイパーリンク"/>
    <tableColumn id="3" name="担当者" dataDxfId="18"/>
    <tableColumn id="4" name="開始日" dataDxfId="17">
      <calculatedColumnFormula>IF(テーブル6234[[#This Row],[タスク]] = "","",TODAY())</calculatedColumnFormula>
    </tableColumn>
    <tableColumn id="5" name="達成率" dataDxfId="16"/>
    <tableColumn id="6" name="状況" dataDxfId="15">
      <calculatedColumnFormula>VLOOKUP(テーブル6234[[#This Row],[達成率]],$H$3:$I$7,2,FALSE)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テーブル623411" displayName="テーブル623411" ref="A6:F19" totalsRowShown="0" headerRowDxfId="9" headerRowBorderDxfId="8" tableBorderDxfId="7" totalsRowBorderDxfId="6">
  <autoFilter ref="A6:F19"/>
  <sortState ref="A7:F19">
    <sortCondition ref="C6:C19"/>
  </sortState>
  <tableColumns count="6">
    <tableColumn id="1" name="No" dataDxfId="5"/>
    <tableColumn id="2" name="タスク" dataDxfId="4" dataCellStyle="ハイパーリンク"/>
    <tableColumn id="3" name="担当者" dataDxfId="3"/>
    <tableColumn id="4" name="開始日" dataDxfId="2">
      <calculatedColumnFormula>IF(テーブル623411[[#This Row],[タスク]] = "","",TODAY())</calculatedColumnFormula>
    </tableColumn>
    <tableColumn id="5" name="達成率" dataDxfId="1"/>
    <tableColumn id="6" name="状況" dataDxfId="0">
      <calculatedColumnFormula>VLOOKUP(テーブル623411[[#This Row],[達成率]],$H$3:$I$7,2,FALSE)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0"/>
  <sheetViews>
    <sheetView workbookViewId="0">
      <selection activeCell="B16" sqref="B16"/>
    </sheetView>
  </sheetViews>
  <sheetFormatPr defaultColWidth="10.69921875" defaultRowHeight="18" x14ac:dyDescent="0.45"/>
  <cols>
    <col min="2" max="2" width="17.09765625" customWidth="1"/>
    <col min="3" max="3" width="16.8984375" customWidth="1"/>
    <col min="4" max="4" width="20.796875" customWidth="1"/>
  </cols>
  <sheetData>
    <row r="1" spans="1:9" x14ac:dyDescent="0.45">
      <c r="A1" s="1"/>
      <c r="B1" s="1"/>
      <c r="C1" s="1"/>
      <c r="D1" s="1"/>
      <c r="E1" s="1"/>
      <c r="F1" s="1"/>
      <c r="G1" s="1"/>
      <c r="H1" s="1"/>
    </row>
    <row r="2" spans="1:9" x14ac:dyDescent="0.45">
      <c r="A2" s="44" t="s">
        <v>2</v>
      </c>
      <c r="B2" s="44"/>
      <c r="C2" s="41" t="s">
        <v>19</v>
      </c>
      <c r="D2" s="41"/>
      <c r="E2" s="41"/>
      <c r="F2" s="41"/>
      <c r="G2" s="2" t="s">
        <v>5</v>
      </c>
      <c r="H2" s="41" t="s">
        <v>7</v>
      </c>
      <c r="I2" s="41"/>
    </row>
    <row r="3" spans="1:9" x14ac:dyDescent="0.45">
      <c r="A3" s="44" t="s">
        <v>0</v>
      </c>
      <c r="B3" s="44"/>
      <c r="C3" s="41" t="s">
        <v>3</v>
      </c>
      <c r="D3" s="41"/>
      <c r="E3" s="41"/>
      <c r="F3" s="41"/>
      <c r="G3" s="2" t="s">
        <v>6</v>
      </c>
      <c r="H3" s="42">
        <v>44124</v>
      </c>
      <c r="I3" s="42"/>
    </row>
    <row r="4" spans="1:9" x14ac:dyDescent="0.45">
      <c r="A4" s="44" t="s">
        <v>1</v>
      </c>
      <c r="B4" s="44"/>
      <c r="C4" s="41" t="s">
        <v>4</v>
      </c>
      <c r="D4" s="41"/>
      <c r="E4" s="41"/>
      <c r="F4" s="41"/>
      <c r="G4" s="1"/>
      <c r="H4" s="1"/>
    </row>
    <row r="5" spans="1:9" x14ac:dyDescent="0.45">
      <c r="A5" s="46" t="s">
        <v>14</v>
      </c>
      <c r="B5" s="46"/>
      <c r="C5" s="45">
        <f ca="1">LastSaveTime()</f>
        <v>44127.559467592589</v>
      </c>
      <c r="D5" s="45"/>
      <c r="E5" s="45"/>
      <c r="F5" s="45"/>
    </row>
    <row r="6" spans="1:9" x14ac:dyDescent="0.45">
      <c r="A6" s="43" t="s">
        <v>8</v>
      </c>
      <c r="B6" s="43"/>
    </row>
    <row r="7" spans="1:9" x14ac:dyDescent="0.45">
      <c r="A7" s="9" t="s">
        <v>9</v>
      </c>
      <c r="B7" s="10" t="s">
        <v>10</v>
      </c>
      <c r="C7" s="10" t="s">
        <v>5</v>
      </c>
      <c r="D7" s="10" t="s">
        <v>6</v>
      </c>
      <c r="E7" s="13"/>
      <c r="F7" s="12"/>
      <c r="G7" s="12"/>
    </row>
    <row r="8" spans="1:9" x14ac:dyDescent="0.45">
      <c r="A8" s="8">
        <v>1</v>
      </c>
      <c r="B8" s="4" t="s">
        <v>15</v>
      </c>
      <c r="C8" s="5" t="s">
        <v>38</v>
      </c>
      <c r="D8" s="6">
        <f ca="1">IF(テーブル6[[#This Row],[シート名]] = "","",TODAY())</f>
        <v>44130</v>
      </c>
      <c r="E8" s="13"/>
      <c r="F8" s="12"/>
      <c r="G8" s="12"/>
    </row>
    <row r="9" spans="1:9" x14ac:dyDescent="0.45">
      <c r="A9" s="8">
        <v>2</v>
      </c>
      <c r="B9" s="40" t="s">
        <v>40</v>
      </c>
      <c r="C9" s="5" t="s">
        <v>38</v>
      </c>
      <c r="D9" s="6">
        <f ca="1">IF(テーブル6[[#This Row],[シート名]] = "","",TODAY())</f>
        <v>44130</v>
      </c>
      <c r="E9" s="13"/>
      <c r="F9" s="12"/>
      <c r="G9" s="12"/>
    </row>
    <row r="10" spans="1:9" x14ac:dyDescent="0.45">
      <c r="A10" s="8">
        <v>3</v>
      </c>
      <c r="B10" s="7" t="s">
        <v>11</v>
      </c>
      <c r="C10" s="5" t="s">
        <v>38</v>
      </c>
      <c r="D10" s="6">
        <f ca="1">IF(テーブル6[[#This Row],[シート名]] = "","",TODAY())</f>
        <v>44130</v>
      </c>
      <c r="E10" s="13"/>
      <c r="F10" s="12"/>
      <c r="G10" s="12"/>
    </row>
    <row r="11" spans="1:9" x14ac:dyDescent="0.45">
      <c r="A11" s="8">
        <v>4</v>
      </c>
      <c r="B11" s="7" t="s">
        <v>12</v>
      </c>
      <c r="C11" s="5" t="s">
        <v>38</v>
      </c>
      <c r="D11" s="6">
        <f ca="1">IF(テーブル6[[#This Row],[シート名]] = "","",TODAY())</f>
        <v>44130</v>
      </c>
      <c r="E11" s="13"/>
      <c r="F11" s="12"/>
      <c r="G11" s="12"/>
    </row>
    <row r="12" spans="1:9" x14ac:dyDescent="0.45">
      <c r="A12" s="8">
        <v>5</v>
      </c>
      <c r="B12" s="7" t="s">
        <v>41</v>
      </c>
      <c r="C12" s="5" t="s">
        <v>38</v>
      </c>
      <c r="D12" s="6">
        <f ca="1">IF(テーブル6[[#This Row],[シート名]] = "","",TODAY())</f>
        <v>44130</v>
      </c>
      <c r="E12" s="14"/>
      <c r="F12" s="12"/>
      <c r="G12" s="12"/>
    </row>
    <row r="13" spans="1:9" x14ac:dyDescent="0.45">
      <c r="A13" s="8">
        <v>6</v>
      </c>
      <c r="B13" s="7" t="s">
        <v>13</v>
      </c>
      <c r="C13" s="5" t="s">
        <v>38</v>
      </c>
      <c r="D13" s="6">
        <f ca="1">IF(テーブル6[[#This Row],[シート名]] = "","",TODAY())</f>
        <v>44130</v>
      </c>
      <c r="E13" s="13"/>
      <c r="F13" s="12"/>
      <c r="G13" s="12"/>
    </row>
    <row r="14" spans="1:9" x14ac:dyDescent="0.45">
      <c r="A14" s="8">
        <v>7</v>
      </c>
      <c r="B14" s="7" t="s">
        <v>17</v>
      </c>
      <c r="C14" s="5" t="s">
        <v>38</v>
      </c>
      <c r="D14" s="6">
        <f ca="1">IF(テーブル6[[#This Row],[シート名]] = "","",TODAY())</f>
        <v>44130</v>
      </c>
      <c r="E14" s="13"/>
      <c r="F14" s="12"/>
      <c r="G14" s="12"/>
    </row>
    <row r="15" spans="1:9" x14ac:dyDescent="0.45">
      <c r="A15" s="11">
        <v>8</v>
      </c>
      <c r="B15" s="15" t="s">
        <v>16</v>
      </c>
      <c r="C15" s="5" t="s">
        <v>38</v>
      </c>
      <c r="D15" s="6">
        <f ca="1">IF(テーブル6[[#This Row],[シート名]] = "","",TODAY())</f>
        <v>44130</v>
      </c>
      <c r="E15" s="13"/>
      <c r="F15" s="12"/>
      <c r="G15" s="12"/>
    </row>
    <row r="16" spans="1:9" x14ac:dyDescent="0.45">
      <c r="A16" s="11">
        <v>9</v>
      </c>
      <c r="B16" s="7"/>
      <c r="C16" s="5" t="s">
        <v>18</v>
      </c>
      <c r="D16" s="6" t="str">
        <f ca="1">IF(テーブル6[[#This Row],[シート名]] = "","",TODAY())</f>
        <v/>
      </c>
    </row>
    <row r="17" spans="1:4" x14ac:dyDescent="0.45">
      <c r="A17" s="11">
        <v>10</v>
      </c>
      <c r="B17" s="7"/>
      <c r="C17" s="5" t="s">
        <v>18</v>
      </c>
      <c r="D17" s="6" t="str">
        <f ca="1">IF(テーブル6[[#This Row],[シート名]] = "","",TODAY())</f>
        <v/>
      </c>
    </row>
    <row r="18" spans="1:4" x14ac:dyDescent="0.45">
      <c r="A18" s="11">
        <v>11</v>
      </c>
      <c r="B18" s="7"/>
      <c r="C18" s="5" t="s">
        <v>18</v>
      </c>
      <c r="D18" s="6" t="str">
        <f ca="1">IF(テーブル6[[#This Row],[シート名]] = "","",TODAY())</f>
        <v/>
      </c>
    </row>
    <row r="19" spans="1:4" x14ac:dyDescent="0.45">
      <c r="A19" s="11">
        <v>12</v>
      </c>
      <c r="B19" s="7"/>
      <c r="C19" s="5" t="s">
        <v>18</v>
      </c>
      <c r="D19" s="6" t="str">
        <f ca="1">IF(テーブル6[[#This Row],[シート名]] = "","",TODAY())</f>
        <v/>
      </c>
    </row>
    <row r="20" spans="1:4" x14ac:dyDescent="0.45">
      <c r="A20" s="11">
        <v>13</v>
      </c>
      <c r="B20" s="7"/>
      <c r="C20" s="5" t="s">
        <v>18</v>
      </c>
      <c r="D20" s="6" t="str">
        <f ca="1">IF(テーブル6[[#This Row],[シート名]] = "","",TODAY())</f>
        <v/>
      </c>
    </row>
  </sheetData>
  <customSheetViews>
    <customSheetView guid="{51D8410D-35A1-408D-84BF-E43D7B0E3C94}">
      <selection activeCell="L12" sqref="L12"/>
      <pageMargins left="0.7" right="0.7" top="0.75" bottom="0.75" header="0.3" footer="0.3"/>
      <pageSetup paperSize="9" orientation="portrait" horizontalDpi="300" verticalDpi="300" r:id="rId1"/>
    </customSheetView>
  </customSheetViews>
  <mergeCells count="11">
    <mergeCell ref="H2:I2"/>
    <mergeCell ref="H3:I3"/>
    <mergeCell ref="A6:B6"/>
    <mergeCell ref="A2:B2"/>
    <mergeCell ref="A3:B3"/>
    <mergeCell ref="A4:B4"/>
    <mergeCell ref="C2:F2"/>
    <mergeCell ref="C3:F3"/>
    <mergeCell ref="C4:F4"/>
    <mergeCell ref="C5:F5"/>
    <mergeCell ref="A5:B5"/>
  </mergeCells>
  <phoneticPr fontId="1"/>
  <dataValidations count="1">
    <dataValidation type="list" allowBlank="1" showInputMessage="1" showErrorMessage="1" sqref="C16:C20">
      <formula1>"齋藤大行,樋宮匠,　,"</formula1>
    </dataValidation>
  </dataValidations>
  <hyperlinks>
    <hyperlink ref="B10" location="モデル!A1" display="モデル"/>
    <hyperlink ref="B11" location="BGM!A1" display="BGM"/>
    <hyperlink ref="B12" location="SE!A1" display="効果音"/>
    <hyperlink ref="B13" location="テクスチャ!A1" display="テクスチャ"/>
    <hyperlink ref="B14" location="UI!A1" display="UI"/>
    <hyperlink ref="B15" location="モーション!A1" display="モーション"/>
    <hyperlink ref="B8" location="プログラム!A1" display="プログラム"/>
    <hyperlink ref="B9" location="ツール!A1" display="ツール作成"/>
  </hyperlinks>
  <pageMargins left="0.7" right="0.7" top="0.75" bottom="0.75" header="0.3" footer="0.3"/>
  <pageSetup paperSize="9" orientation="portrait" horizontalDpi="300" verticalDpi="300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OFFSET(リスト!$A$7,0,0,COUNTA(リスト!$A:$A)-1,1)</xm:f>
          </x14:formula1>
          <xm:sqref>C8:C15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7"/>
  <sheetViews>
    <sheetView zoomScale="85" zoomScaleNormal="85" workbookViewId="0">
      <selection activeCell="C15" sqref="C15"/>
    </sheetView>
  </sheetViews>
  <sheetFormatPr defaultRowHeight="18" x14ac:dyDescent="0.45"/>
  <cols>
    <col min="1" max="1" width="8.69921875" customWidth="1"/>
    <col min="2" max="2" width="40" customWidth="1"/>
    <col min="3" max="3" width="13.19921875" customWidth="1"/>
    <col min="4" max="4" width="18.5" customWidth="1"/>
    <col min="5" max="5" width="10.296875" customWidth="1"/>
    <col min="6" max="6" width="9.09765625" customWidth="1"/>
  </cols>
  <sheetData>
    <row r="1" spans="1:9" ht="18.600000000000001" thickBot="1" x14ac:dyDescent="0.5">
      <c r="H1" t="s">
        <v>24</v>
      </c>
    </row>
    <row r="2" spans="1:9" ht="18.600000000000001" thickBot="1" x14ac:dyDescent="0.5">
      <c r="A2" s="44" t="s">
        <v>10</v>
      </c>
      <c r="B2" s="44"/>
      <c r="C2" s="47" t="str">
        <f ca="1">RIGHT(CELL("filename",A1),LEN(CELL("filename",A1))-FIND("]",CELL("filename",A1)))</f>
        <v>ゲームプログラム</v>
      </c>
      <c r="D2" s="48"/>
      <c r="E2" s="48"/>
      <c r="F2" s="49"/>
      <c r="H2" s="29" t="s">
        <v>23</v>
      </c>
      <c r="I2" s="30" t="s">
        <v>25</v>
      </c>
    </row>
    <row r="3" spans="1:9" x14ac:dyDescent="0.45">
      <c r="A3" s="44" t="s">
        <v>5</v>
      </c>
      <c r="B3" s="44"/>
      <c r="C3" s="41" t="s">
        <v>103</v>
      </c>
      <c r="D3" s="41"/>
      <c r="E3" s="41"/>
      <c r="F3" s="41"/>
      <c r="H3" s="31">
        <v>1</v>
      </c>
      <c r="I3" s="34" t="s">
        <v>27</v>
      </c>
    </row>
    <row r="4" spans="1:9" x14ac:dyDescent="0.45">
      <c r="A4" s="44" t="s">
        <v>6</v>
      </c>
      <c r="B4" s="44"/>
      <c r="C4" s="42">
        <v>44124</v>
      </c>
      <c r="D4" s="42"/>
      <c r="E4" s="42"/>
      <c r="F4" s="42"/>
      <c r="H4" s="32">
        <v>0.75</v>
      </c>
      <c r="I4" s="38" t="s">
        <v>28</v>
      </c>
    </row>
    <row r="5" spans="1:9" x14ac:dyDescent="0.45">
      <c r="H5" s="32">
        <v>0.5</v>
      </c>
      <c r="I5" s="35" t="s">
        <v>29</v>
      </c>
    </row>
    <row r="6" spans="1:9" x14ac:dyDescent="0.45">
      <c r="A6" s="9" t="s">
        <v>9</v>
      </c>
      <c r="B6" s="10" t="s">
        <v>22</v>
      </c>
      <c r="C6" s="10" t="s">
        <v>21</v>
      </c>
      <c r="D6" s="3" t="s">
        <v>20</v>
      </c>
      <c r="E6" s="24" t="s">
        <v>23</v>
      </c>
      <c r="F6" s="25" t="s">
        <v>25</v>
      </c>
      <c r="H6" s="32">
        <v>0.25</v>
      </c>
      <c r="I6" s="36" t="s">
        <v>26</v>
      </c>
    </row>
    <row r="7" spans="1:9" ht="18.600000000000001" thickBot="1" x14ac:dyDescent="0.5">
      <c r="A7" s="8">
        <v>3</v>
      </c>
      <c r="B7" s="20" t="s">
        <v>42</v>
      </c>
      <c r="C7" s="5" t="s">
        <v>33</v>
      </c>
      <c r="D7" s="17">
        <f ca="1">IF(テーブル62[[#This Row],[タスク]] = "","",TODAY())</f>
        <v>44130</v>
      </c>
      <c r="E7" s="19">
        <v>0.25</v>
      </c>
      <c r="F7" s="28" t="str">
        <f>VLOOKUP(テーブル62[[#This Row],[達成率]],$H$3:$I$7,2,FALSE)</f>
        <v>危険</v>
      </c>
      <c r="H7" s="33">
        <v>0</v>
      </c>
      <c r="I7" s="37" t="s">
        <v>30</v>
      </c>
    </row>
    <row r="8" spans="1:9" x14ac:dyDescent="0.45">
      <c r="A8" s="8">
        <v>4</v>
      </c>
      <c r="B8" s="21" t="s">
        <v>45</v>
      </c>
      <c r="C8" s="5" t="s">
        <v>33</v>
      </c>
      <c r="D8" s="17">
        <f ca="1">IF(テーブル62[[#This Row],[タスク]] = "","",TODAY())</f>
        <v>44130</v>
      </c>
      <c r="E8" s="19">
        <v>0.25</v>
      </c>
      <c r="F8" s="28" t="str">
        <f>VLOOKUP(テーブル62[[#This Row],[達成率]],$H$3:$I$7,2,FALSE)</f>
        <v>危険</v>
      </c>
    </row>
    <row r="9" spans="1:9" x14ac:dyDescent="0.45">
      <c r="A9" s="8">
        <v>5</v>
      </c>
      <c r="B9" s="20" t="s">
        <v>48</v>
      </c>
      <c r="C9" s="5" t="s">
        <v>33</v>
      </c>
      <c r="D9" s="17">
        <f ca="1">IF(テーブル62[[#This Row],[タスク]] = "","",TODAY())</f>
        <v>44130</v>
      </c>
      <c r="E9" s="19">
        <v>0.25</v>
      </c>
      <c r="F9" s="28" t="str">
        <f>VLOOKUP(テーブル62[[#This Row],[達成率]],$H$3:$I$7,2,FALSE)</f>
        <v>危険</v>
      </c>
    </row>
    <row r="10" spans="1:9" x14ac:dyDescent="0.45">
      <c r="A10" s="8">
        <v>6</v>
      </c>
      <c r="B10" s="20" t="s">
        <v>49</v>
      </c>
      <c r="C10" s="5" t="s">
        <v>33</v>
      </c>
      <c r="D10" s="17">
        <f ca="1">IF(テーブル62[[#This Row],[タスク]] = "","",TODAY())</f>
        <v>44130</v>
      </c>
      <c r="E10" s="19">
        <v>0</v>
      </c>
      <c r="F10" s="28" t="str">
        <f>VLOOKUP(テーブル62[[#This Row],[達成率]],$H$3:$I$7,2,FALSE)</f>
        <v>未実装</v>
      </c>
    </row>
    <row r="11" spans="1:9" x14ac:dyDescent="0.45">
      <c r="A11" s="8">
        <v>7</v>
      </c>
      <c r="B11" s="21" t="s">
        <v>44</v>
      </c>
      <c r="C11" s="5" t="s">
        <v>33</v>
      </c>
      <c r="D11" s="17">
        <f ca="1">IF(テーブル62[[#This Row],[タスク]] = "","",TODAY())</f>
        <v>44130</v>
      </c>
      <c r="E11" s="19">
        <v>0</v>
      </c>
      <c r="F11" s="28" t="str">
        <f>VLOOKUP(テーブル62[[#This Row],[達成率]],$H$3:$I$7,2,FALSE)</f>
        <v>未実装</v>
      </c>
    </row>
    <row r="12" spans="1:9" x14ac:dyDescent="0.45">
      <c r="A12" s="8">
        <v>8</v>
      </c>
      <c r="B12" s="21" t="s">
        <v>43</v>
      </c>
      <c r="C12" s="5" t="s">
        <v>33</v>
      </c>
      <c r="D12" s="17">
        <f ca="1">IF(テーブル62[[#This Row],[タスク]] = "","",TODAY())</f>
        <v>44130</v>
      </c>
      <c r="E12" s="19">
        <v>0</v>
      </c>
      <c r="F12" s="28" t="str">
        <f>VLOOKUP(テーブル62[[#This Row],[達成率]],$H$3:$I$7,2,FALSE)</f>
        <v>未実装</v>
      </c>
    </row>
    <row r="13" spans="1:9" x14ac:dyDescent="0.45">
      <c r="A13" s="8">
        <v>9</v>
      </c>
      <c r="B13" s="21" t="s">
        <v>46</v>
      </c>
      <c r="C13" s="5" t="s">
        <v>33</v>
      </c>
      <c r="D13" s="17">
        <f ca="1">IF(テーブル62[[#This Row],[タスク]] = "","",TODAY())</f>
        <v>44130</v>
      </c>
      <c r="E13" s="19">
        <v>0</v>
      </c>
      <c r="F13" s="28" t="str">
        <f>VLOOKUP(テーブル62[[#This Row],[達成率]],$H$3:$I$7,2,FALSE)</f>
        <v>未実装</v>
      </c>
    </row>
    <row r="14" spans="1:9" x14ac:dyDescent="0.45">
      <c r="A14" s="11">
        <v>10</v>
      </c>
      <c r="B14" s="21" t="s">
        <v>47</v>
      </c>
      <c r="C14" s="5" t="s">
        <v>33</v>
      </c>
      <c r="D14" s="17">
        <f ca="1">IF(テーブル62[[#This Row],[タスク]] = "","",TODAY())</f>
        <v>44130</v>
      </c>
      <c r="E14" s="19">
        <v>0</v>
      </c>
      <c r="F14" s="28" t="str">
        <f>VLOOKUP(テーブル62[[#This Row],[達成率]],$H$3:$I$7,2,FALSE)</f>
        <v>未実装</v>
      </c>
    </row>
    <row r="15" spans="1:9" x14ac:dyDescent="0.45">
      <c r="A15" s="11">
        <v>11</v>
      </c>
      <c r="B15" s="21" t="s">
        <v>104</v>
      </c>
      <c r="C15" s="5" t="s">
        <v>33</v>
      </c>
      <c r="D15" s="17">
        <f ca="1">IF(テーブル62[[#This Row],[タスク]] = "","",TODAY())</f>
        <v>44130</v>
      </c>
      <c r="E15" s="19">
        <v>0</v>
      </c>
      <c r="F15" s="28" t="str">
        <f>VLOOKUP(テーブル62[[#This Row],[達成率]],$H$3:$I$7,2,FALSE)</f>
        <v>未実装</v>
      </c>
    </row>
    <row r="16" spans="1:9" x14ac:dyDescent="0.45">
      <c r="A16" s="11">
        <v>12</v>
      </c>
      <c r="B16" s="21"/>
      <c r="C16" s="5" t="s">
        <v>33</v>
      </c>
      <c r="D16" s="17" t="str">
        <f ca="1">IF(テーブル62[[#This Row],[タスク]] = "","",TODAY())</f>
        <v/>
      </c>
      <c r="E16" s="19">
        <v>0</v>
      </c>
      <c r="F16" s="28" t="str">
        <f>VLOOKUP(テーブル62[[#This Row],[達成率]],$H$3:$I$7,2,FALSE)</f>
        <v>未実装</v>
      </c>
    </row>
    <row r="17" spans="1:7" x14ac:dyDescent="0.45">
      <c r="A17" s="11">
        <v>13</v>
      </c>
      <c r="B17" s="21"/>
      <c r="C17" s="5" t="s">
        <v>33</v>
      </c>
      <c r="D17" s="17" t="str">
        <f ca="1">IF(テーブル62[[#This Row],[タスク]] = "","",TODAY())</f>
        <v/>
      </c>
      <c r="E17" s="19">
        <v>0</v>
      </c>
      <c r="F17" s="28" t="str">
        <f>VLOOKUP(テーブル62[[#This Row],[達成率]],$H$3:$I$7,2,FALSE)</f>
        <v>未実装</v>
      </c>
    </row>
    <row r="18" spans="1:7" x14ac:dyDescent="0.45">
      <c r="A18" s="11">
        <v>14</v>
      </c>
      <c r="B18" s="26"/>
      <c r="C18" s="5" t="s">
        <v>33</v>
      </c>
      <c r="D18" s="17" t="str">
        <f ca="1">IF(テーブル62[[#This Row],[タスク]] = "","",TODAY())</f>
        <v/>
      </c>
      <c r="E18" s="19">
        <v>0</v>
      </c>
      <c r="F18" s="28" t="str">
        <f>VLOOKUP(テーブル62[[#This Row],[達成率]],$H$3:$I$7,2,FALSE)</f>
        <v>未実装</v>
      </c>
    </row>
    <row r="19" spans="1:7" x14ac:dyDescent="0.45">
      <c r="A19" s="11">
        <v>2</v>
      </c>
      <c r="B19" s="21"/>
      <c r="C19" s="5" t="s">
        <v>39</v>
      </c>
      <c r="D19" s="17" t="str">
        <f ca="1">IF(テーブル62[[#This Row],[タスク]] = "","",TODAY())</f>
        <v/>
      </c>
      <c r="E19" s="19">
        <v>0</v>
      </c>
      <c r="F19" s="28" t="str">
        <f>VLOOKUP(テーブル62[[#This Row],[達成率]],$H$3:$I$7,2,FALSE)</f>
        <v>未実装</v>
      </c>
    </row>
    <row r="22" spans="1:7" x14ac:dyDescent="0.45">
      <c r="D22" s="23"/>
      <c r="E22" s="23"/>
      <c r="F22" s="23"/>
      <c r="G22" s="23"/>
    </row>
    <row r="23" spans="1:7" x14ac:dyDescent="0.45">
      <c r="B23" s="23"/>
    </row>
    <row r="24" spans="1:7" x14ac:dyDescent="0.45">
      <c r="B24" s="23"/>
    </row>
    <row r="25" spans="1:7" x14ac:dyDescent="0.45">
      <c r="B25" s="23"/>
    </row>
    <row r="26" spans="1:7" x14ac:dyDescent="0.45">
      <c r="B26" s="23"/>
    </row>
    <row r="27" spans="1:7" x14ac:dyDescent="0.45">
      <c r="B27" s="23"/>
    </row>
  </sheetData>
  <mergeCells count="6">
    <mergeCell ref="A2:B2"/>
    <mergeCell ref="C2:F2"/>
    <mergeCell ref="A3:B3"/>
    <mergeCell ref="C3:F3"/>
    <mergeCell ref="A4:B4"/>
    <mergeCell ref="C4:F4"/>
  </mergeCells>
  <phoneticPr fontId="1"/>
  <conditionalFormatting sqref="H3:H7">
    <cfRule type="dataBar" priority="14">
      <dataBar>
        <cfvo type="num" val="0"/>
        <cfvo type="num" val="1"/>
        <color theme="0" tint="-0.34998626667073579"/>
      </dataBar>
      <extLst>
        <ext xmlns:x14="http://schemas.microsoft.com/office/spreadsheetml/2009/9/main" uri="{B025F937-C7B1-47D3-B67F-A62EFF666E3E}">
          <x14:id>{6B788142-CF8F-4BF9-BC52-693C0BF22E53}</x14:id>
        </ext>
      </extLst>
    </cfRule>
  </conditionalFormatting>
  <conditionalFormatting sqref="F7:F19">
    <cfRule type="expression" dxfId="119" priority="1">
      <formula xml:space="preserve"> $F7 = "完了"</formula>
    </cfRule>
    <cfRule type="expression" dxfId="118" priority="2">
      <formula xml:space="preserve"> $F7 = "順調"</formula>
    </cfRule>
    <cfRule type="expression" dxfId="117" priority="3">
      <formula xml:space="preserve"> $F7 = "注意"</formula>
    </cfRule>
    <cfRule type="expression" dxfId="116" priority="4">
      <formula xml:space="preserve"> $F7 = "危険"</formula>
    </cfRule>
    <cfRule type="expression" dxfId="115" priority="5" stopIfTrue="1">
      <formula xml:space="preserve"> $F7 = "未実装"</formula>
    </cfRule>
  </conditionalFormatting>
  <dataValidations count="2">
    <dataValidation type="list" allowBlank="1" showInputMessage="1" showErrorMessage="1" sqref="E7:E19">
      <formula1>達成率</formula1>
    </dataValidation>
    <dataValidation type="list" allowBlank="1" showInputMessage="1" showErrorMessage="1" sqref="H4:H7">
      <formula1>"100%,75%,50%,25%,0%"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788142-CF8F-4BF9-BC52-693C0BF22E53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H3:H7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OFFSET(リスト!$A$7,0,0,COUNTA(リスト!$A:$A)-1,1)</xm:f>
          </x14:formula1>
          <xm:sqref>C7:C19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7"/>
  <sheetViews>
    <sheetView zoomScale="85" zoomScaleNormal="85" workbookViewId="0">
      <selection activeCell="C3" sqref="C3:F3"/>
    </sheetView>
  </sheetViews>
  <sheetFormatPr defaultRowHeight="18" x14ac:dyDescent="0.45"/>
  <cols>
    <col min="1" max="1" width="8.69921875" customWidth="1"/>
    <col min="2" max="2" width="25.69921875" customWidth="1"/>
    <col min="3" max="3" width="13.19921875" customWidth="1"/>
    <col min="4" max="4" width="18.5" customWidth="1"/>
    <col min="5" max="5" width="10.296875" customWidth="1"/>
    <col min="6" max="6" width="9.09765625" customWidth="1"/>
  </cols>
  <sheetData>
    <row r="1" spans="1:9" ht="18.600000000000001" thickBot="1" x14ac:dyDescent="0.5">
      <c r="H1" t="s">
        <v>24</v>
      </c>
    </row>
    <row r="2" spans="1:9" ht="18.600000000000001" thickBot="1" x14ac:dyDescent="0.5">
      <c r="A2" s="44" t="s">
        <v>10</v>
      </c>
      <c r="B2" s="44"/>
      <c r="C2" s="47" t="str">
        <f ca="1">RIGHT(CELL("filename",A1),LEN(CELL("filename",A1))-FIND("]",CELL("filename",A1)))</f>
        <v>ツール</v>
      </c>
      <c r="D2" s="48"/>
      <c r="E2" s="48"/>
      <c r="F2" s="49"/>
      <c r="H2" s="29" t="s">
        <v>23</v>
      </c>
      <c r="I2" s="30" t="s">
        <v>25</v>
      </c>
    </row>
    <row r="3" spans="1:9" x14ac:dyDescent="0.45">
      <c r="A3" s="44" t="s">
        <v>5</v>
      </c>
      <c r="B3" s="44"/>
      <c r="C3" s="41" t="s">
        <v>103</v>
      </c>
      <c r="D3" s="41"/>
      <c r="E3" s="41"/>
      <c r="F3" s="41"/>
      <c r="H3" s="31">
        <v>1</v>
      </c>
      <c r="I3" s="34" t="s">
        <v>27</v>
      </c>
    </row>
    <row r="4" spans="1:9" x14ac:dyDescent="0.45">
      <c r="A4" s="44" t="s">
        <v>6</v>
      </c>
      <c r="B4" s="44"/>
      <c r="C4" s="42">
        <v>44124</v>
      </c>
      <c r="D4" s="42"/>
      <c r="E4" s="42"/>
      <c r="F4" s="42"/>
      <c r="H4" s="32">
        <v>0.75</v>
      </c>
      <c r="I4" s="38" t="s">
        <v>28</v>
      </c>
    </row>
    <row r="5" spans="1:9" x14ac:dyDescent="0.45">
      <c r="H5" s="32">
        <v>0.5</v>
      </c>
      <c r="I5" s="35" t="s">
        <v>29</v>
      </c>
    </row>
    <row r="6" spans="1:9" x14ac:dyDescent="0.45">
      <c r="A6" s="9" t="s">
        <v>9</v>
      </c>
      <c r="B6" s="10" t="s">
        <v>22</v>
      </c>
      <c r="C6" s="10" t="s">
        <v>21</v>
      </c>
      <c r="D6" s="16" t="s">
        <v>20</v>
      </c>
      <c r="E6" s="24" t="s">
        <v>23</v>
      </c>
      <c r="F6" s="25" t="s">
        <v>25</v>
      </c>
      <c r="H6" s="32">
        <v>0.25</v>
      </c>
      <c r="I6" s="36" t="s">
        <v>26</v>
      </c>
    </row>
    <row r="7" spans="1:9" ht="18.600000000000001" thickBot="1" x14ac:dyDescent="0.5">
      <c r="A7" s="8">
        <v>3</v>
      </c>
      <c r="B7" s="20" t="s">
        <v>64</v>
      </c>
      <c r="C7" s="5" t="s">
        <v>36</v>
      </c>
      <c r="D7" s="17">
        <f ca="1">IF(テーブル623[[#This Row],[タスク]] = "","",TODAY())</f>
        <v>44130</v>
      </c>
      <c r="E7" s="19">
        <v>0.25</v>
      </c>
      <c r="F7" s="28" t="str">
        <f>VLOOKUP(テーブル623[[#This Row],[達成率]],$H$3:$I$7,2,FALSE)</f>
        <v>危険</v>
      </c>
      <c r="H7" s="33">
        <v>0</v>
      </c>
      <c r="I7" s="37" t="s">
        <v>30</v>
      </c>
    </row>
    <row r="8" spans="1:9" x14ac:dyDescent="0.45">
      <c r="A8" s="8">
        <v>4</v>
      </c>
      <c r="B8" s="20" t="s">
        <v>65</v>
      </c>
      <c r="C8" s="5" t="s">
        <v>36</v>
      </c>
      <c r="D8" s="17">
        <f ca="1">IF(テーブル623[[#This Row],[タスク]] = "","",TODAY())</f>
        <v>44130</v>
      </c>
      <c r="E8" s="19">
        <v>0.75</v>
      </c>
      <c r="F8" s="28" t="str">
        <f>VLOOKUP(テーブル623[[#This Row],[達成率]],$H$3:$I$7,2,FALSE)</f>
        <v>順調</v>
      </c>
    </row>
    <row r="9" spans="1:9" x14ac:dyDescent="0.45">
      <c r="A9" s="8">
        <v>5</v>
      </c>
      <c r="B9" s="21" t="s">
        <v>66</v>
      </c>
      <c r="C9" s="5" t="s">
        <v>36</v>
      </c>
      <c r="D9" s="17">
        <f ca="1">IF(テーブル623[[#This Row],[タスク]] = "","",TODAY())</f>
        <v>44130</v>
      </c>
      <c r="E9" s="19">
        <v>1</v>
      </c>
      <c r="F9" s="28" t="str">
        <f>VLOOKUP(テーブル623[[#This Row],[達成率]],$H$3:$I$7,2,FALSE)</f>
        <v>完了</v>
      </c>
    </row>
    <row r="10" spans="1:9" x14ac:dyDescent="0.45">
      <c r="A10" s="8">
        <v>6</v>
      </c>
      <c r="B10" s="21" t="s">
        <v>67</v>
      </c>
      <c r="C10" s="5" t="s">
        <v>36</v>
      </c>
      <c r="D10" s="17">
        <f ca="1">IF(テーブル623[[#This Row],[タスク]] = "","",TODAY())</f>
        <v>44130</v>
      </c>
      <c r="E10" s="19">
        <v>1</v>
      </c>
      <c r="F10" s="28" t="str">
        <f>VLOOKUP(テーブル623[[#This Row],[達成率]],$H$3:$I$7,2,FALSE)</f>
        <v>完了</v>
      </c>
    </row>
    <row r="11" spans="1:9" x14ac:dyDescent="0.45">
      <c r="A11" s="8">
        <v>7</v>
      </c>
      <c r="B11" s="21" t="s">
        <v>68</v>
      </c>
      <c r="C11" s="5" t="s">
        <v>36</v>
      </c>
      <c r="D11" s="17">
        <f ca="1">IF(テーブル623[[#This Row],[タスク]] = "","",TODAY())</f>
        <v>44130</v>
      </c>
      <c r="E11" s="19">
        <v>1</v>
      </c>
      <c r="F11" s="28" t="str">
        <f>VLOOKUP(テーブル623[[#This Row],[達成率]],$H$3:$I$7,2,FALSE)</f>
        <v>完了</v>
      </c>
    </row>
    <row r="12" spans="1:9" x14ac:dyDescent="0.45">
      <c r="A12" s="8">
        <v>8</v>
      </c>
      <c r="B12" s="21" t="s">
        <v>50</v>
      </c>
      <c r="C12" s="5" t="s">
        <v>39</v>
      </c>
      <c r="D12" s="17">
        <f ca="1">IF(テーブル623[[#This Row],[タスク]] = "","",TODAY())</f>
        <v>44130</v>
      </c>
      <c r="E12" s="19">
        <v>0.5</v>
      </c>
      <c r="F12" s="28" t="str">
        <f>VLOOKUP(テーブル623[[#This Row],[達成率]],$H$3:$I$7,2,FALSE)</f>
        <v>注意</v>
      </c>
    </row>
    <row r="13" spans="1:9" x14ac:dyDescent="0.45">
      <c r="A13" s="8">
        <v>9</v>
      </c>
      <c r="B13" s="21"/>
      <c r="C13" s="5" t="s">
        <v>39</v>
      </c>
      <c r="D13" s="17" t="str">
        <f ca="1">IF(テーブル623[[#This Row],[タスク]] = "","",TODAY())</f>
        <v/>
      </c>
      <c r="E13" s="19">
        <v>0</v>
      </c>
      <c r="F13" s="28" t="str">
        <f>VLOOKUP(テーブル623[[#This Row],[達成率]],$H$3:$I$7,2,FALSE)</f>
        <v>未実装</v>
      </c>
    </row>
    <row r="14" spans="1:9" x14ac:dyDescent="0.45">
      <c r="A14" s="11">
        <v>10</v>
      </c>
      <c r="B14" s="22"/>
      <c r="C14" s="5" t="s">
        <v>39</v>
      </c>
      <c r="D14" s="17" t="str">
        <f ca="1">IF(テーブル623[[#This Row],[タスク]] = "","",TODAY())</f>
        <v/>
      </c>
      <c r="E14" s="19">
        <v>0</v>
      </c>
      <c r="F14" s="28" t="str">
        <f>VLOOKUP(テーブル623[[#This Row],[達成率]],$H$3:$I$7,2,FALSE)</f>
        <v>未実装</v>
      </c>
    </row>
    <row r="15" spans="1:9" x14ac:dyDescent="0.45">
      <c r="A15" s="11">
        <v>11</v>
      </c>
      <c r="B15" s="21"/>
      <c r="C15" s="5" t="s">
        <v>39</v>
      </c>
      <c r="D15" s="17" t="str">
        <f ca="1">IF(テーブル623[[#This Row],[タスク]] = "","",TODAY())</f>
        <v/>
      </c>
      <c r="E15" s="19">
        <v>0</v>
      </c>
      <c r="F15" s="28" t="str">
        <f>VLOOKUP(テーブル623[[#This Row],[達成率]],$H$3:$I$7,2,FALSE)</f>
        <v>未実装</v>
      </c>
    </row>
    <row r="16" spans="1:9" x14ac:dyDescent="0.45">
      <c r="A16" s="11">
        <v>12</v>
      </c>
      <c r="B16" s="21"/>
      <c r="C16" s="5" t="s">
        <v>39</v>
      </c>
      <c r="D16" s="17" t="str">
        <f ca="1">IF(テーブル623[[#This Row],[タスク]] = "","",TODAY())</f>
        <v/>
      </c>
      <c r="E16" s="19">
        <v>0</v>
      </c>
      <c r="F16" s="28" t="str">
        <f>VLOOKUP(テーブル623[[#This Row],[達成率]],$H$3:$I$7,2,FALSE)</f>
        <v>未実装</v>
      </c>
    </row>
    <row r="17" spans="1:7" x14ac:dyDescent="0.45">
      <c r="A17" s="11">
        <v>13</v>
      </c>
      <c r="B17" s="21"/>
      <c r="C17" s="5" t="s">
        <v>39</v>
      </c>
      <c r="D17" s="17" t="str">
        <f ca="1">IF(テーブル623[[#This Row],[タスク]] = "","",TODAY())</f>
        <v/>
      </c>
      <c r="E17" s="19">
        <v>0</v>
      </c>
      <c r="F17" s="28" t="str">
        <f>VLOOKUP(テーブル623[[#This Row],[達成率]],$H$3:$I$7,2,FALSE)</f>
        <v>未実装</v>
      </c>
    </row>
    <row r="18" spans="1:7" x14ac:dyDescent="0.45">
      <c r="A18" s="11">
        <v>14</v>
      </c>
      <c r="B18" s="26"/>
      <c r="C18" s="5" t="s">
        <v>39</v>
      </c>
      <c r="D18" s="17" t="str">
        <f ca="1">IF(テーブル623[[#This Row],[タスク]] = "","",TODAY())</f>
        <v/>
      </c>
      <c r="E18" s="19">
        <v>0</v>
      </c>
      <c r="F18" s="28" t="str">
        <f>VLOOKUP(テーブル623[[#This Row],[達成率]],$H$3:$I$7,2,FALSE)</f>
        <v>未実装</v>
      </c>
    </row>
    <row r="19" spans="1:7" x14ac:dyDescent="0.45">
      <c r="A19" s="11">
        <v>2</v>
      </c>
      <c r="B19" s="21"/>
      <c r="C19" s="5" t="s">
        <v>39</v>
      </c>
      <c r="D19" s="17" t="str">
        <f ca="1">IF(テーブル623[[#This Row],[タスク]] = "","",TODAY())</f>
        <v/>
      </c>
      <c r="E19" s="19">
        <v>0</v>
      </c>
      <c r="F19" s="28" t="str">
        <f>VLOOKUP(テーブル623[[#This Row],[達成率]],$H$3:$I$7,2,FALSE)</f>
        <v>未実装</v>
      </c>
    </row>
    <row r="22" spans="1:7" x14ac:dyDescent="0.45">
      <c r="D22" s="23"/>
      <c r="E22" s="23"/>
      <c r="F22" s="23"/>
      <c r="G22" s="23"/>
    </row>
    <row r="23" spans="1:7" x14ac:dyDescent="0.45">
      <c r="B23" s="23"/>
    </row>
    <row r="24" spans="1:7" x14ac:dyDescent="0.45">
      <c r="B24" s="23"/>
    </row>
    <row r="25" spans="1:7" x14ac:dyDescent="0.45">
      <c r="B25" s="23"/>
    </row>
    <row r="26" spans="1:7" x14ac:dyDescent="0.45">
      <c r="B26" s="23"/>
    </row>
    <row r="27" spans="1:7" x14ac:dyDescent="0.45">
      <c r="B27" s="23"/>
    </row>
  </sheetData>
  <mergeCells count="6">
    <mergeCell ref="A2:B2"/>
    <mergeCell ref="C2:F2"/>
    <mergeCell ref="A3:B3"/>
    <mergeCell ref="C3:F3"/>
    <mergeCell ref="A4:B4"/>
    <mergeCell ref="C4:F4"/>
  </mergeCells>
  <phoneticPr fontId="1"/>
  <conditionalFormatting sqref="H3:H7">
    <cfRule type="dataBar" priority="6">
      <dataBar>
        <cfvo type="num" val="0"/>
        <cfvo type="num" val="1"/>
        <color theme="0" tint="-0.34998626667073579"/>
      </dataBar>
      <extLst>
        <ext xmlns:x14="http://schemas.microsoft.com/office/spreadsheetml/2009/9/main" uri="{B025F937-C7B1-47D3-B67F-A62EFF666E3E}">
          <x14:id>{F83AB88E-2268-408D-96EB-1569D90B18A0}</x14:id>
        </ext>
      </extLst>
    </cfRule>
  </conditionalFormatting>
  <conditionalFormatting sqref="F7:F19">
    <cfRule type="expression" dxfId="104" priority="1">
      <formula xml:space="preserve"> $F7 = "完了"</formula>
    </cfRule>
    <cfRule type="expression" dxfId="103" priority="2">
      <formula xml:space="preserve"> $F7 = "順調"</formula>
    </cfRule>
    <cfRule type="expression" dxfId="102" priority="3">
      <formula xml:space="preserve"> $F7 = "注意"</formula>
    </cfRule>
    <cfRule type="expression" dxfId="101" priority="4">
      <formula xml:space="preserve"> $F7 = "危険"</formula>
    </cfRule>
    <cfRule type="expression" dxfId="100" priority="5" stopIfTrue="1">
      <formula xml:space="preserve"> $F7 = "未実装"</formula>
    </cfRule>
  </conditionalFormatting>
  <dataValidations count="2">
    <dataValidation type="list" allowBlank="1" showInputMessage="1" showErrorMessage="1" sqref="H4:H7">
      <formula1>"100%,75%,50%,25%,0%"</formula1>
    </dataValidation>
    <dataValidation type="list" allowBlank="1" showInputMessage="1" showErrorMessage="1" sqref="E7:E19">
      <formula1>達成率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3AB88E-2268-408D-96EB-1569D90B18A0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H3:H7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OFFSET(リスト!$A$7,0,0,COUNTA(リスト!$A:$A)-1,1)</xm:f>
          </x14:formula1>
          <xm:sqref>C7:C19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7"/>
  <sheetViews>
    <sheetView tabSelected="1" zoomScale="85" zoomScaleNormal="85" workbookViewId="0">
      <selection activeCell="I14" sqref="I14:I15"/>
    </sheetView>
  </sheetViews>
  <sheetFormatPr defaultRowHeight="18" x14ac:dyDescent="0.45"/>
  <cols>
    <col min="1" max="1" width="8.69921875" customWidth="1"/>
    <col min="2" max="2" width="25.69921875" customWidth="1"/>
    <col min="3" max="3" width="13.19921875" customWidth="1"/>
    <col min="4" max="4" width="18.5" customWidth="1"/>
    <col min="5" max="5" width="10.296875" customWidth="1"/>
    <col min="6" max="6" width="9.09765625" customWidth="1"/>
  </cols>
  <sheetData>
    <row r="1" spans="1:9" ht="18.600000000000001" thickBot="1" x14ac:dyDescent="0.5">
      <c r="H1" t="s">
        <v>24</v>
      </c>
    </row>
    <row r="2" spans="1:9" ht="18.600000000000001" thickBot="1" x14ac:dyDescent="0.5">
      <c r="A2" s="44" t="s">
        <v>10</v>
      </c>
      <c r="B2" s="44"/>
      <c r="C2" s="47" t="str">
        <f ca="1">RIGHT(CELL("filename",A1),LEN(CELL("filename",A1))-FIND("]",CELL("filename",A1)))</f>
        <v>モデル</v>
      </c>
      <c r="D2" s="48"/>
      <c r="E2" s="48"/>
      <c r="F2" s="49"/>
      <c r="H2" s="29" t="s">
        <v>23</v>
      </c>
      <c r="I2" s="30" t="s">
        <v>25</v>
      </c>
    </row>
    <row r="3" spans="1:9" x14ac:dyDescent="0.45">
      <c r="A3" s="44" t="s">
        <v>5</v>
      </c>
      <c r="B3" s="44"/>
      <c r="C3" s="41" t="s">
        <v>103</v>
      </c>
      <c r="D3" s="41"/>
      <c r="E3" s="41"/>
      <c r="F3" s="41"/>
      <c r="H3" s="31">
        <v>1</v>
      </c>
      <c r="I3" s="34" t="s">
        <v>27</v>
      </c>
    </row>
    <row r="4" spans="1:9" x14ac:dyDescent="0.45">
      <c r="A4" s="44" t="s">
        <v>6</v>
      </c>
      <c r="B4" s="44"/>
      <c r="C4" s="42">
        <v>44124</v>
      </c>
      <c r="D4" s="42"/>
      <c r="E4" s="42"/>
      <c r="F4" s="42"/>
      <c r="H4" s="32">
        <v>0.75</v>
      </c>
      <c r="I4" s="38" t="s">
        <v>28</v>
      </c>
    </row>
    <row r="5" spans="1:9" x14ac:dyDescent="0.45">
      <c r="H5" s="32">
        <v>0.5</v>
      </c>
      <c r="I5" s="35" t="s">
        <v>29</v>
      </c>
    </row>
    <row r="6" spans="1:9" x14ac:dyDescent="0.45">
      <c r="A6" s="9" t="s">
        <v>9</v>
      </c>
      <c r="B6" s="10" t="s">
        <v>22</v>
      </c>
      <c r="C6" s="10" t="s">
        <v>21</v>
      </c>
      <c r="D6" s="16" t="s">
        <v>20</v>
      </c>
      <c r="E6" s="24" t="s">
        <v>23</v>
      </c>
      <c r="F6" s="25" t="s">
        <v>25</v>
      </c>
      <c r="H6" s="32">
        <v>0.25</v>
      </c>
      <c r="I6" s="36" t="s">
        <v>26</v>
      </c>
    </row>
    <row r="7" spans="1:9" ht="18.600000000000001" thickBot="1" x14ac:dyDescent="0.5">
      <c r="A7" s="8">
        <v>1</v>
      </c>
      <c r="B7" s="20" t="s">
        <v>51</v>
      </c>
      <c r="C7" s="5" t="s">
        <v>37</v>
      </c>
      <c r="D7" s="17">
        <f ca="1">IF(テーブル623568[[#This Row],[タスク]] = "","",TODAY())</f>
        <v>44130</v>
      </c>
      <c r="E7" s="19">
        <v>0.25</v>
      </c>
      <c r="F7" s="28" t="str">
        <f>VLOOKUP(テーブル623568[[#This Row],[達成率]],$H$3:$I$7,2,FALSE)</f>
        <v>危険</v>
      </c>
      <c r="H7" s="33">
        <v>0</v>
      </c>
      <c r="I7" s="37" t="s">
        <v>30</v>
      </c>
    </row>
    <row r="8" spans="1:9" x14ac:dyDescent="0.45">
      <c r="A8" s="8">
        <v>2</v>
      </c>
      <c r="B8" s="20" t="s">
        <v>52</v>
      </c>
      <c r="C8" s="5" t="s">
        <v>37</v>
      </c>
      <c r="D8" s="17">
        <f ca="1">IF(テーブル623568[[#This Row],[タスク]] = "","",TODAY())</f>
        <v>44130</v>
      </c>
      <c r="E8" s="19">
        <v>1</v>
      </c>
      <c r="F8" s="28" t="str">
        <f>VLOOKUP(テーブル623568[[#This Row],[達成率]],$H$3:$I$7,2,FALSE)</f>
        <v>完了</v>
      </c>
    </row>
    <row r="9" spans="1:9" x14ac:dyDescent="0.45">
      <c r="A9" s="8">
        <v>3</v>
      </c>
      <c r="B9" s="21" t="s">
        <v>53</v>
      </c>
      <c r="C9" s="5" t="s">
        <v>38</v>
      </c>
      <c r="D9" s="17">
        <f ca="1">IF(テーブル623568[[#This Row],[タスク]] = "","",TODAY())</f>
        <v>44130</v>
      </c>
      <c r="E9" s="19">
        <v>1</v>
      </c>
      <c r="F9" s="28" t="str">
        <f>VLOOKUP(テーブル623568[[#This Row],[達成率]],$H$3:$I$7,2,FALSE)</f>
        <v>完了</v>
      </c>
    </row>
    <row r="10" spans="1:9" x14ac:dyDescent="0.45">
      <c r="A10" s="8">
        <v>4</v>
      </c>
      <c r="B10" s="21" t="s">
        <v>54</v>
      </c>
      <c r="C10" s="5" t="s">
        <v>38</v>
      </c>
      <c r="D10" s="17">
        <f ca="1">IF(テーブル623568[[#This Row],[タスク]] = "","",TODAY())</f>
        <v>44130</v>
      </c>
      <c r="E10" s="19">
        <v>1</v>
      </c>
      <c r="F10" s="28" t="str">
        <f>VLOOKUP(テーブル623568[[#This Row],[達成率]],$H$3:$I$7,2,FALSE)</f>
        <v>完了</v>
      </c>
    </row>
    <row r="11" spans="1:9" x14ac:dyDescent="0.45">
      <c r="A11" s="8">
        <v>5</v>
      </c>
      <c r="B11" s="21" t="s">
        <v>55</v>
      </c>
      <c r="C11" s="5" t="s">
        <v>38</v>
      </c>
      <c r="D11" s="17">
        <f ca="1">IF(テーブル623568[[#This Row],[タスク]] = "","",TODAY())</f>
        <v>44130</v>
      </c>
      <c r="E11" s="19">
        <v>1</v>
      </c>
      <c r="F11" s="28" t="str">
        <f>VLOOKUP(テーブル623568[[#This Row],[達成率]],$H$3:$I$7,2,FALSE)</f>
        <v>完了</v>
      </c>
    </row>
    <row r="12" spans="1:9" x14ac:dyDescent="0.45">
      <c r="A12" s="8">
        <v>6</v>
      </c>
      <c r="B12" s="21" t="s">
        <v>56</v>
      </c>
      <c r="C12" s="5" t="s">
        <v>38</v>
      </c>
      <c r="D12" s="17">
        <f ca="1">IF(テーブル623568[[#This Row],[タスク]] = "","",TODAY())</f>
        <v>44130</v>
      </c>
      <c r="E12" s="19">
        <v>1</v>
      </c>
      <c r="F12" s="28" t="str">
        <f>VLOOKUP(テーブル623568[[#This Row],[達成率]],$H$3:$I$7,2,FALSE)</f>
        <v>完了</v>
      </c>
    </row>
    <row r="13" spans="1:9" x14ac:dyDescent="0.45">
      <c r="A13" s="8">
        <v>7</v>
      </c>
      <c r="B13" s="21" t="s">
        <v>57</v>
      </c>
      <c r="C13" s="5" t="s">
        <v>33</v>
      </c>
      <c r="D13" s="17">
        <f ca="1">IF(テーブル623568[[#This Row],[タスク]] = "","",TODAY())</f>
        <v>44130</v>
      </c>
      <c r="E13" s="19">
        <v>1</v>
      </c>
      <c r="F13" s="28" t="str">
        <f>VLOOKUP(テーブル623568[[#This Row],[達成率]],$H$3:$I$7,2,FALSE)</f>
        <v>完了</v>
      </c>
    </row>
    <row r="14" spans="1:9" x14ac:dyDescent="0.45">
      <c r="A14" s="8">
        <v>8</v>
      </c>
      <c r="B14" s="22" t="s">
        <v>58</v>
      </c>
      <c r="C14" s="5" t="s">
        <v>37</v>
      </c>
      <c r="D14" s="17">
        <f ca="1">IF(テーブル623568[[#This Row],[タスク]] = "","",TODAY())</f>
        <v>44130</v>
      </c>
      <c r="E14" s="19">
        <v>1</v>
      </c>
      <c r="F14" s="28" t="str">
        <f>VLOOKUP(テーブル623568[[#This Row],[達成率]],$H$3:$I$7,2,FALSE)</f>
        <v>完了</v>
      </c>
    </row>
    <row r="15" spans="1:9" x14ac:dyDescent="0.45">
      <c r="A15" s="8">
        <v>9</v>
      </c>
      <c r="B15" s="21" t="s">
        <v>59</v>
      </c>
      <c r="C15" s="5" t="s">
        <v>37</v>
      </c>
      <c r="D15" s="17">
        <f ca="1">IF(テーブル623568[[#This Row],[タスク]] = "","",TODAY())</f>
        <v>44130</v>
      </c>
      <c r="E15" s="19">
        <v>1</v>
      </c>
      <c r="F15" s="28" t="str">
        <f>VLOOKUP(テーブル623568[[#This Row],[達成率]],$H$3:$I$7,2,FALSE)</f>
        <v>完了</v>
      </c>
    </row>
    <row r="16" spans="1:9" x14ac:dyDescent="0.45">
      <c r="A16" s="8">
        <v>10</v>
      </c>
      <c r="B16" s="21" t="s">
        <v>62</v>
      </c>
      <c r="C16" s="5" t="s">
        <v>37</v>
      </c>
      <c r="D16" s="17">
        <f ca="1">IF(テーブル623568[[#This Row],[タスク]] = "","",TODAY())</f>
        <v>44130</v>
      </c>
      <c r="E16" s="19">
        <v>1</v>
      </c>
      <c r="F16" s="28" t="str">
        <f>VLOOKUP(テーブル623568[[#This Row],[達成率]],$H$3:$I$7,2,FALSE)</f>
        <v>完了</v>
      </c>
    </row>
    <row r="17" spans="1:7" x14ac:dyDescent="0.45">
      <c r="A17" s="8">
        <v>11</v>
      </c>
      <c r="B17" s="21" t="s">
        <v>61</v>
      </c>
      <c r="C17" s="5" t="s">
        <v>38</v>
      </c>
      <c r="D17" s="17">
        <f ca="1">IF(テーブル623568[[#This Row],[タスク]] = "","",TODAY())</f>
        <v>44130</v>
      </c>
      <c r="E17" s="19">
        <v>1</v>
      </c>
      <c r="F17" s="28" t="str">
        <f>VLOOKUP(テーブル623568[[#This Row],[達成率]],$H$3:$I$7,2,FALSE)</f>
        <v>完了</v>
      </c>
    </row>
    <row r="18" spans="1:7" x14ac:dyDescent="0.45">
      <c r="A18" s="8">
        <v>12</v>
      </c>
      <c r="B18" s="21" t="s">
        <v>60</v>
      </c>
      <c r="C18" s="5" t="s">
        <v>37</v>
      </c>
      <c r="D18" s="17">
        <f ca="1">IF(テーブル623568[[#This Row],[タスク]] = "","",TODAY())</f>
        <v>44130</v>
      </c>
      <c r="E18" s="19">
        <v>0.25</v>
      </c>
      <c r="F18" s="28" t="str">
        <f>VLOOKUP(テーブル623568[[#This Row],[達成率]],$H$3:$I$7,2,FALSE)</f>
        <v>危険</v>
      </c>
    </row>
    <row r="19" spans="1:7" x14ac:dyDescent="0.45">
      <c r="A19" s="8">
        <v>13</v>
      </c>
      <c r="B19" s="21" t="s">
        <v>63</v>
      </c>
      <c r="C19" s="5" t="s">
        <v>37</v>
      </c>
      <c r="D19" s="17">
        <f ca="1">IF(テーブル623568[[#This Row],[タスク]] = "","",TODAY())</f>
        <v>44130</v>
      </c>
      <c r="E19" s="19">
        <v>0</v>
      </c>
      <c r="F19" s="28" t="str">
        <f>VLOOKUP(テーブル623568[[#This Row],[達成率]],$H$3:$I$7,2,FALSE)</f>
        <v>未実装</v>
      </c>
    </row>
    <row r="20" spans="1:7" x14ac:dyDescent="0.45">
      <c r="A20" s="8">
        <v>13</v>
      </c>
      <c r="B20" s="21" t="s">
        <v>74</v>
      </c>
      <c r="C20" s="5" t="s">
        <v>34</v>
      </c>
      <c r="D20" s="17">
        <f ca="1">IF(テーブル623568[[#This Row],[タスク]] = "","",TODAY())</f>
        <v>44130</v>
      </c>
      <c r="E20" s="19">
        <v>0.75</v>
      </c>
      <c r="F20" s="28" t="str">
        <f>VLOOKUP(テーブル623568[[#This Row],[達成率]],$H$3:$I$7,2,FALSE)</f>
        <v>順調</v>
      </c>
    </row>
    <row r="21" spans="1:7" x14ac:dyDescent="0.45">
      <c r="A21" s="8">
        <v>13</v>
      </c>
      <c r="B21" s="21" t="s">
        <v>75</v>
      </c>
      <c r="C21" s="5" t="s">
        <v>39</v>
      </c>
      <c r="D21" s="17">
        <f ca="1">IF(テーブル623568[[#This Row],[タスク]] = "","",TODAY())</f>
        <v>44130</v>
      </c>
      <c r="E21" s="19">
        <v>1</v>
      </c>
      <c r="F21" s="28" t="str">
        <f>VLOOKUP(テーブル623568[[#This Row],[達成率]],$H$3:$I$7,2,FALSE)</f>
        <v>完了</v>
      </c>
    </row>
    <row r="22" spans="1:7" x14ac:dyDescent="0.45">
      <c r="A22" s="8">
        <v>13</v>
      </c>
      <c r="B22" s="21"/>
      <c r="C22" s="5" t="s">
        <v>39</v>
      </c>
      <c r="D22" s="17" t="str">
        <f ca="1">IF(テーブル623568[[#This Row],[タスク]] = "","",TODAY())</f>
        <v/>
      </c>
      <c r="E22" s="19">
        <v>0</v>
      </c>
      <c r="F22" s="28" t="str">
        <f>VLOOKUP(テーブル623568[[#This Row],[達成率]],$H$3:$I$7,2,FALSE)</f>
        <v>未実装</v>
      </c>
      <c r="G22" s="23"/>
    </row>
    <row r="23" spans="1:7" x14ac:dyDescent="0.45">
      <c r="B23" s="23"/>
    </row>
    <row r="24" spans="1:7" x14ac:dyDescent="0.45">
      <c r="B24" s="23"/>
    </row>
    <row r="25" spans="1:7" x14ac:dyDescent="0.45">
      <c r="B25" s="23"/>
    </row>
    <row r="26" spans="1:7" x14ac:dyDescent="0.45">
      <c r="B26" s="23"/>
    </row>
    <row r="27" spans="1:7" x14ac:dyDescent="0.45">
      <c r="B27" s="23"/>
    </row>
  </sheetData>
  <mergeCells count="6">
    <mergeCell ref="A2:B2"/>
    <mergeCell ref="C2:F2"/>
    <mergeCell ref="A3:B3"/>
    <mergeCell ref="C3:F3"/>
    <mergeCell ref="A4:B4"/>
    <mergeCell ref="C4:F4"/>
  </mergeCells>
  <phoneticPr fontId="1"/>
  <conditionalFormatting sqref="H3:H7">
    <cfRule type="dataBar" priority="6">
      <dataBar>
        <cfvo type="num" val="0"/>
        <cfvo type="num" val="1"/>
        <color theme="0" tint="-0.34998626667073579"/>
      </dataBar>
      <extLst>
        <ext xmlns:x14="http://schemas.microsoft.com/office/spreadsheetml/2009/9/main" uri="{B025F937-C7B1-47D3-B67F-A62EFF666E3E}">
          <x14:id>{D6C9C48C-84AC-4DFF-BBD2-73F988922FED}</x14:id>
        </ext>
      </extLst>
    </cfRule>
  </conditionalFormatting>
  <conditionalFormatting sqref="F7:F22">
    <cfRule type="expression" dxfId="89" priority="1">
      <formula xml:space="preserve"> $F7 = "完了"</formula>
    </cfRule>
    <cfRule type="expression" dxfId="88" priority="2">
      <formula xml:space="preserve"> $F7 = "順調"</formula>
    </cfRule>
    <cfRule type="expression" dxfId="87" priority="3">
      <formula xml:space="preserve"> $F7 = "注意"</formula>
    </cfRule>
    <cfRule type="expression" dxfId="86" priority="4">
      <formula xml:space="preserve"> $F7 = "危険"</formula>
    </cfRule>
    <cfRule type="expression" dxfId="85" priority="5" stopIfTrue="1">
      <formula xml:space="preserve"> $F7 = "未実装"</formula>
    </cfRule>
  </conditionalFormatting>
  <dataValidations count="2">
    <dataValidation type="list" allowBlank="1" showInputMessage="1" showErrorMessage="1" sqref="E7:E22">
      <formula1>達成率</formula1>
    </dataValidation>
    <dataValidation type="list" allowBlank="1" showInputMessage="1" showErrorMessage="1" sqref="H4:H7">
      <formula1>"100%,75%,50%,25%,0%"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6C9C48C-84AC-4DFF-BBD2-73F988922FED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H3:H7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OFFSET(リスト!$A$7,0,0,COUNTA(リスト!$A:$A)-1,1)</xm:f>
          </x14:formula1>
          <xm:sqref>C7:C22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7"/>
  <sheetViews>
    <sheetView zoomScale="85" zoomScaleNormal="85" workbookViewId="0">
      <selection activeCell="C3" sqref="C3:F3"/>
    </sheetView>
  </sheetViews>
  <sheetFormatPr defaultRowHeight="18" x14ac:dyDescent="0.45"/>
  <cols>
    <col min="1" max="1" width="8.69921875" customWidth="1"/>
    <col min="2" max="2" width="25.59765625" customWidth="1"/>
    <col min="3" max="3" width="13.19921875" customWidth="1"/>
    <col min="4" max="4" width="18.5" customWidth="1"/>
    <col min="5" max="5" width="10.296875" customWidth="1"/>
    <col min="6" max="6" width="9.09765625" customWidth="1"/>
  </cols>
  <sheetData>
    <row r="1" spans="1:9" ht="18.600000000000001" thickBot="1" x14ac:dyDescent="0.5">
      <c r="H1" t="s">
        <v>24</v>
      </c>
    </row>
    <row r="2" spans="1:9" ht="18.600000000000001" thickBot="1" x14ac:dyDescent="0.5">
      <c r="A2" s="44" t="s">
        <v>10</v>
      </c>
      <c r="B2" s="44"/>
      <c r="C2" s="47" t="str">
        <f ca="1">RIGHT(CELL("filename",A1),LEN(CELL("filename",A1))-FIND("]",CELL("filename",A1)))</f>
        <v>BGM</v>
      </c>
      <c r="D2" s="48"/>
      <c r="E2" s="48"/>
      <c r="F2" s="49"/>
      <c r="H2" s="29" t="s">
        <v>23</v>
      </c>
      <c r="I2" s="30" t="s">
        <v>25</v>
      </c>
    </row>
    <row r="3" spans="1:9" x14ac:dyDescent="0.45">
      <c r="A3" s="44" t="s">
        <v>5</v>
      </c>
      <c r="B3" s="44"/>
      <c r="C3" s="41" t="s">
        <v>103</v>
      </c>
      <c r="D3" s="41"/>
      <c r="E3" s="41"/>
      <c r="F3" s="41"/>
      <c r="H3" s="31">
        <v>1</v>
      </c>
      <c r="I3" s="34" t="s">
        <v>27</v>
      </c>
    </row>
    <row r="4" spans="1:9" x14ac:dyDescent="0.45">
      <c r="A4" s="44" t="s">
        <v>6</v>
      </c>
      <c r="B4" s="44"/>
      <c r="C4" s="42">
        <v>44124</v>
      </c>
      <c r="D4" s="42"/>
      <c r="E4" s="42"/>
      <c r="F4" s="42"/>
      <c r="H4" s="32">
        <v>0.75</v>
      </c>
      <c r="I4" s="38" t="s">
        <v>28</v>
      </c>
    </row>
    <row r="5" spans="1:9" x14ac:dyDescent="0.45">
      <c r="H5" s="32">
        <v>0.5</v>
      </c>
      <c r="I5" s="35" t="s">
        <v>29</v>
      </c>
    </row>
    <row r="6" spans="1:9" x14ac:dyDescent="0.45">
      <c r="A6" s="9" t="s">
        <v>9</v>
      </c>
      <c r="B6" s="10" t="s">
        <v>22</v>
      </c>
      <c r="C6" s="10" t="s">
        <v>21</v>
      </c>
      <c r="D6" s="16" t="s">
        <v>20</v>
      </c>
      <c r="E6" s="24" t="s">
        <v>23</v>
      </c>
      <c r="F6" s="25" t="s">
        <v>25</v>
      </c>
      <c r="H6" s="32">
        <v>0.25</v>
      </c>
      <c r="I6" s="36" t="s">
        <v>26</v>
      </c>
    </row>
    <row r="7" spans="1:9" ht="18.600000000000001" thickBot="1" x14ac:dyDescent="0.5">
      <c r="A7" s="8">
        <v>3</v>
      </c>
      <c r="B7" s="20" t="s">
        <v>2</v>
      </c>
      <c r="C7" s="5" t="s">
        <v>39</v>
      </c>
      <c r="D7" s="17">
        <f ca="1">IF(テーブル62356[[#This Row],[タスク]] = "","",TODAY())</f>
        <v>44130</v>
      </c>
      <c r="E7" s="19">
        <v>0</v>
      </c>
      <c r="F7" s="28" t="str">
        <f>VLOOKUP(テーブル62356[[#This Row],[達成率]],$H$3:$I$7,2,FALSE)</f>
        <v>未実装</v>
      </c>
      <c r="H7" s="33">
        <v>0</v>
      </c>
      <c r="I7" s="37" t="s">
        <v>30</v>
      </c>
    </row>
    <row r="8" spans="1:9" x14ac:dyDescent="0.45">
      <c r="A8" s="8">
        <v>4</v>
      </c>
      <c r="B8" s="21" t="s">
        <v>77</v>
      </c>
      <c r="C8" s="5" t="s">
        <v>39</v>
      </c>
      <c r="D8" s="17">
        <f ca="1">IF(テーブル62356[[#This Row],[タスク]] = "","",TODAY())</f>
        <v>44130</v>
      </c>
      <c r="E8" s="19">
        <v>0</v>
      </c>
      <c r="F8" s="28" t="str">
        <f>VLOOKUP(テーブル62356[[#This Row],[達成率]],$H$3:$I$7,2,FALSE)</f>
        <v>未実装</v>
      </c>
    </row>
    <row r="9" spans="1:9" x14ac:dyDescent="0.45">
      <c r="A9" s="8">
        <v>5</v>
      </c>
      <c r="B9" s="21" t="s">
        <v>93</v>
      </c>
      <c r="C9" s="5" t="s">
        <v>39</v>
      </c>
      <c r="D9" s="17">
        <f ca="1">IF(テーブル62356[[#This Row],[タスク]] = "","",TODAY())</f>
        <v>44130</v>
      </c>
      <c r="E9" s="19">
        <v>0</v>
      </c>
      <c r="F9" s="28" t="str">
        <f>VLOOKUP(テーブル62356[[#This Row],[達成率]],$H$3:$I$7,2,FALSE)</f>
        <v>未実装</v>
      </c>
    </row>
    <row r="10" spans="1:9" x14ac:dyDescent="0.45">
      <c r="A10" s="8">
        <v>6</v>
      </c>
      <c r="B10" s="21" t="s">
        <v>94</v>
      </c>
      <c r="C10" s="5" t="s">
        <v>39</v>
      </c>
      <c r="D10" s="17">
        <f ca="1">IF(テーブル62356[[#This Row],[タスク]] = "","",TODAY())</f>
        <v>44130</v>
      </c>
      <c r="E10" s="19">
        <v>0</v>
      </c>
      <c r="F10" s="28" t="str">
        <f>VLOOKUP(テーブル62356[[#This Row],[達成率]],$H$3:$I$7,2,FALSE)</f>
        <v>未実装</v>
      </c>
    </row>
    <row r="11" spans="1:9" x14ac:dyDescent="0.45">
      <c r="A11" s="8">
        <v>7</v>
      </c>
      <c r="B11" s="20" t="s">
        <v>76</v>
      </c>
      <c r="C11" s="5" t="s">
        <v>39</v>
      </c>
      <c r="D11" s="17">
        <f ca="1">IF(テーブル62356[[#This Row],[タスク]] = "","",TODAY())</f>
        <v>44130</v>
      </c>
      <c r="E11" s="19">
        <v>0</v>
      </c>
      <c r="F11" s="28" t="str">
        <f>VLOOKUP(テーブル62356[[#This Row],[達成率]],$H$3:$I$7,2,FALSE)</f>
        <v>未実装</v>
      </c>
    </row>
    <row r="12" spans="1:9" x14ac:dyDescent="0.45">
      <c r="A12" s="8">
        <v>8</v>
      </c>
      <c r="B12" s="21"/>
      <c r="C12" s="5" t="s">
        <v>39</v>
      </c>
      <c r="D12" s="17" t="str">
        <f ca="1">IF(テーブル62356[[#This Row],[タスク]] = "","",TODAY())</f>
        <v/>
      </c>
      <c r="E12" s="19">
        <v>0</v>
      </c>
      <c r="F12" s="28" t="str">
        <f>VLOOKUP(テーブル62356[[#This Row],[達成率]],$H$3:$I$7,2,FALSE)</f>
        <v>未実装</v>
      </c>
    </row>
    <row r="13" spans="1:9" x14ac:dyDescent="0.45">
      <c r="A13" s="8">
        <v>9</v>
      </c>
      <c r="B13" s="21"/>
      <c r="C13" s="5" t="s">
        <v>39</v>
      </c>
      <c r="D13" s="17" t="str">
        <f ca="1">IF(テーブル62356[[#This Row],[タスク]] = "","",TODAY())</f>
        <v/>
      </c>
      <c r="E13" s="19">
        <v>0</v>
      </c>
      <c r="F13" s="28" t="str">
        <f>VLOOKUP(テーブル62356[[#This Row],[達成率]],$H$3:$I$7,2,FALSE)</f>
        <v>未実装</v>
      </c>
    </row>
    <row r="14" spans="1:9" x14ac:dyDescent="0.45">
      <c r="A14" s="11">
        <v>10</v>
      </c>
      <c r="B14" s="22"/>
      <c r="C14" s="5" t="s">
        <v>39</v>
      </c>
      <c r="D14" s="17" t="str">
        <f ca="1">IF(テーブル62356[[#This Row],[タスク]] = "","",TODAY())</f>
        <v/>
      </c>
      <c r="E14" s="19">
        <v>0</v>
      </c>
      <c r="F14" s="28" t="str">
        <f>VLOOKUP(テーブル62356[[#This Row],[達成率]],$H$3:$I$7,2,FALSE)</f>
        <v>未実装</v>
      </c>
    </row>
    <row r="15" spans="1:9" x14ac:dyDescent="0.45">
      <c r="A15" s="11">
        <v>11</v>
      </c>
      <c r="B15" s="21"/>
      <c r="C15" s="5" t="s">
        <v>39</v>
      </c>
      <c r="D15" s="17" t="str">
        <f ca="1">IF(テーブル62356[[#This Row],[タスク]] = "","",TODAY())</f>
        <v/>
      </c>
      <c r="E15" s="19">
        <v>0</v>
      </c>
      <c r="F15" s="28" t="str">
        <f>VLOOKUP(テーブル62356[[#This Row],[達成率]],$H$3:$I$7,2,FALSE)</f>
        <v>未実装</v>
      </c>
    </row>
    <row r="16" spans="1:9" x14ac:dyDescent="0.45">
      <c r="A16" s="11">
        <v>12</v>
      </c>
      <c r="B16" s="21"/>
      <c r="C16" s="5" t="s">
        <v>39</v>
      </c>
      <c r="D16" s="17" t="str">
        <f ca="1">IF(テーブル62356[[#This Row],[タスク]] = "","",TODAY())</f>
        <v/>
      </c>
      <c r="E16" s="19">
        <v>0</v>
      </c>
      <c r="F16" s="28" t="str">
        <f>VLOOKUP(テーブル62356[[#This Row],[達成率]],$H$3:$I$7,2,FALSE)</f>
        <v>未実装</v>
      </c>
    </row>
    <row r="17" spans="1:7" x14ac:dyDescent="0.45">
      <c r="A17" s="11">
        <v>13</v>
      </c>
      <c r="B17" s="21"/>
      <c r="C17" s="5" t="s">
        <v>39</v>
      </c>
      <c r="D17" s="17" t="str">
        <f ca="1">IF(テーブル62356[[#This Row],[タスク]] = "","",TODAY())</f>
        <v/>
      </c>
      <c r="E17" s="19">
        <v>0</v>
      </c>
      <c r="F17" s="28" t="str">
        <f>VLOOKUP(テーブル62356[[#This Row],[達成率]],$H$3:$I$7,2,FALSE)</f>
        <v>未実装</v>
      </c>
    </row>
    <row r="18" spans="1:7" x14ac:dyDescent="0.45">
      <c r="A18" s="11">
        <v>14</v>
      </c>
      <c r="B18" s="26"/>
      <c r="C18" s="5" t="s">
        <v>39</v>
      </c>
      <c r="D18" s="17" t="str">
        <f ca="1">IF(テーブル62356[[#This Row],[タスク]] = "","",TODAY())</f>
        <v/>
      </c>
      <c r="E18" s="19">
        <v>0</v>
      </c>
      <c r="F18" s="28" t="str">
        <f>VLOOKUP(テーブル62356[[#This Row],[達成率]],$H$3:$I$7,2,FALSE)</f>
        <v>未実装</v>
      </c>
    </row>
    <row r="19" spans="1:7" x14ac:dyDescent="0.45">
      <c r="A19" s="11">
        <v>2</v>
      </c>
      <c r="B19" s="21"/>
      <c r="C19" s="5" t="s">
        <v>39</v>
      </c>
      <c r="D19" s="17" t="str">
        <f ca="1">IF(テーブル62356[[#This Row],[タスク]] = "","",TODAY())</f>
        <v/>
      </c>
      <c r="E19" s="19">
        <v>0</v>
      </c>
      <c r="F19" s="28" t="str">
        <f>VLOOKUP(テーブル62356[[#This Row],[達成率]],$H$3:$I$7,2,FALSE)</f>
        <v>未実装</v>
      </c>
    </row>
    <row r="22" spans="1:7" x14ac:dyDescent="0.45">
      <c r="D22" s="23"/>
      <c r="E22" s="23"/>
      <c r="F22" s="23"/>
      <c r="G22" s="23"/>
    </row>
    <row r="23" spans="1:7" x14ac:dyDescent="0.45">
      <c r="B23" s="23"/>
    </row>
    <row r="24" spans="1:7" x14ac:dyDescent="0.45">
      <c r="B24" s="23"/>
    </row>
    <row r="25" spans="1:7" x14ac:dyDescent="0.45">
      <c r="B25" s="23"/>
    </row>
    <row r="26" spans="1:7" x14ac:dyDescent="0.45">
      <c r="B26" s="23"/>
    </row>
    <row r="27" spans="1:7" x14ac:dyDescent="0.45">
      <c r="B27" s="23"/>
    </row>
  </sheetData>
  <mergeCells count="6">
    <mergeCell ref="A2:B2"/>
    <mergeCell ref="C2:F2"/>
    <mergeCell ref="A3:B3"/>
    <mergeCell ref="C3:F3"/>
    <mergeCell ref="A4:B4"/>
    <mergeCell ref="C4:F4"/>
  </mergeCells>
  <phoneticPr fontId="1"/>
  <conditionalFormatting sqref="H3:H7">
    <cfRule type="dataBar" priority="6">
      <dataBar>
        <cfvo type="num" val="0"/>
        <cfvo type="num" val="1"/>
        <color theme="0" tint="-0.34998626667073579"/>
      </dataBar>
      <extLst>
        <ext xmlns:x14="http://schemas.microsoft.com/office/spreadsheetml/2009/9/main" uri="{B025F937-C7B1-47D3-B67F-A62EFF666E3E}">
          <x14:id>{6C6D7602-4806-48DC-9334-260F2F7E79B8}</x14:id>
        </ext>
      </extLst>
    </cfRule>
  </conditionalFormatting>
  <conditionalFormatting sqref="F7:F19">
    <cfRule type="expression" dxfId="74" priority="1">
      <formula xml:space="preserve"> $F7 = "完了"</formula>
    </cfRule>
    <cfRule type="expression" dxfId="73" priority="2">
      <formula xml:space="preserve"> $F7 = "順調"</formula>
    </cfRule>
    <cfRule type="expression" dxfId="72" priority="3">
      <formula xml:space="preserve"> $F7 = "注意"</formula>
    </cfRule>
    <cfRule type="expression" dxfId="71" priority="4">
      <formula xml:space="preserve"> $F7 = "危険"</formula>
    </cfRule>
    <cfRule type="expression" dxfId="70" priority="5" stopIfTrue="1">
      <formula xml:space="preserve"> $F7 = "未実装"</formula>
    </cfRule>
  </conditionalFormatting>
  <dataValidations count="2">
    <dataValidation type="list" allowBlank="1" showInputMessage="1" showErrorMessage="1" sqref="H4:H7">
      <formula1>"100%,75%,50%,25%,0%"</formula1>
    </dataValidation>
    <dataValidation type="list" allowBlank="1" showInputMessage="1" showErrorMessage="1" sqref="E7:E19">
      <formula1>達成率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C6D7602-4806-48DC-9334-260F2F7E79B8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H3:H7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OFFSET(リスト!$A$7,0,0,COUNTA(リスト!$A:$A)-1,1)</xm:f>
          </x14:formula1>
          <xm:sqref>C7:C19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0"/>
  <sheetViews>
    <sheetView zoomScale="85" zoomScaleNormal="85" workbookViewId="0">
      <selection activeCell="J19" sqref="J19"/>
    </sheetView>
  </sheetViews>
  <sheetFormatPr defaultRowHeight="18" x14ac:dyDescent="0.45"/>
  <cols>
    <col min="1" max="1" width="8.69921875" customWidth="1"/>
    <col min="2" max="2" width="25.69921875" customWidth="1"/>
    <col min="3" max="3" width="13.19921875" customWidth="1"/>
    <col min="4" max="4" width="18.5" customWidth="1"/>
    <col min="5" max="5" width="10.296875" customWidth="1"/>
    <col min="6" max="6" width="9.09765625" customWidth="1"/>
  </cols>
  <sheetData>
    <row r="1" spans="1:9" ht="18.600000000000001" thickBot="1" x14ac:dyDescent="0.5">
      <c r="H1" t="s">
        <v>24</v>
      </c>
    </row>
    <row r="2" spans="1:9" ht="18.600000000000001" thickBot="1" x14ac:dyDescent="0.5">
      <c r="A2" s="44" t="s">
        <v>10</v>
      </c>
      <c r="B2" s="44"/>
      <c r="C2" s="47" t="str">
        <f ca="1">RIGHT(CELL("filename",A1),LEN(CELL("filename",A1))-FIND("]",CELL("filename",A1)))</f>
        <v>SE</v>
      </c>
      <c r="D2" s="48"/>
      <c r="E2" s="48"/>
      <c r="F2" s="49"/>
      <c r="H2" s="29" t="s">
        <v>23</v>
      </c>
      <c r="I2" s="30" t="s">
        <v>25</v>
      </c>
    </row>
    <row r="3" spans="1:9" x14ac:dyDescent="0.45">
      <c r="A3" s="44" t="s">
        <v>5</v>
      </c>
      <c r="B3" s="44"/>
      <c r="C3" s="41" t="s">
        <v>7</v>
      </c>
      <c r="D3" s="41"/>
      <c r="E3" s="41"/>
      <c r="F3" s="41"/>
      <c r="H3" s="31">
        <v>1</v>
      </c>
      <c r="I3" s="34" t="s">
        <v>27</v>
      </c>
    </row>
    <row r="4" spans="1:9" x14ac:dyDescent="0.45">
      <c r="A4" s="44" t="s">
        <v>6</v>
      </c>
      <c r="B4" s="44"/>
      <c r="C4" s="42">
        <v>44124</v>
      </c>
      <c r="D4" s="42"/>
      <c r="E4" s="42"/>
      <c r="F4" s="42"/>
      <c r="H4" s="32">
        <v>0.75</v>
      </c>
      <c r="I4" s="38" t="s">
        <v>28</v>
      </c>
    </row>
    <row r="5" spans="1:9" x14ac:dyDescent="0.45">
      <c r="H5" s="32">
        <v>0.5</v>
      </c>
      <c r="I5" s="35" t="s">
        <v>29</v>
      </c>
    </row>
    <row r="6" spans="1:9" x14ac:dyDescent="0.45">
      <c r="A6" s="9" t="s">
        <v>9</v>
      </c>
      <c r="B6" s="10" t="s">
        <v>22</v>
      </c>
      <c r="C6" s="10" t="s">
        <v>21</v>
      </c>
      <c r="D6" s="16" t="s">
        <v>20</v>
      </c>
      <c r="E6" s="24" t="s">
        <v>23</v>
      </c>
      <c r="F6" s="25" t="s">
        <v>25</v>
      </c>
      <c r="H6" s="32">
        <v>0.25</v>
      </c>
      <c r="I6" s="36" t="s">
        <v>26</v>
      </c>
    </row>
    <row r="7" spans="1:9" ht="18.600000000000001" thickBot="1" x14ac:dyDescent="0.5">
      <c r="A7" s="8">
        <v>1</v>
      </c>
      <c r="B7" s="20" t="s">
        <v>83</v>
      </c>
      <c r="C7" s="5" t="s">
        <v>39</v>
      </c>
      <c r="D7" s="17">
        <f ca="1">IF(テーブル6235[[#This Row],[タスク]] = "","",TODAY())</f>
        <v>44130</v>
      </c>
      <c r="E7" s="19">
        <v>0</v>
      </c>
      <c r="F7" s="28" t="str">
        <f>VLOOKUP(テーブル6235[[#This Row],[達成率]],$H$3:$I$7,2,FALSE)</f>
        <v>未実装</v>
      </c>
      <c r="H7" s="33">
        <v>0</v>
      </c>
      <c r="I7" s="37" t="s">
        <v>30</v>
      </c>
    </row>
    <row r="8" spans="1:9" x14ac:dyDescent="0.45">
      <c r="A8" s="8">
        <v>2</v>
      </c>
      <c r="B8" s="21" t="s">
        <v>86</v>
      </c>
      <c r="C8" s="5" t="s">
        <v>39</v>
      </c>
      <c r="D8" s="17">
        <f ca="1">IF(テーブル6235[[#This Row],[タスク]] = "","",TODAY())</f>
        <v>44130</v>
      </c>
      <c r="E8" s="19">
        <v>0</v>
      </c>
      <c r="F8" s="28" t="str">
        <f>VLOOKUP(テーブル6235[[#This Row],[達成率]],$H$3:$I$7,2,FALSE)</f>
        <v>未実装</v>
      </c>
    </row>
    <row r="9" spans="1:9" x14ac:dyDescent="0.45">
      <c r="A9" s="8">
        <v>3</v>
      </c>
      <c r="B9" s="21" t="s">
        <v>84</v>
      </c>
      <c r="C9" s="5" t="s">
        <v>39</v>
      </c>
      <c r="D9" s="17">
        <f ca="1">IF(テーブル6235[[#This Row],[タスク]] = "","",TODAY())</f>
        <v>44130</v>
      </c>
      <c r="E9" s="19">
        <v>0</v>
      </c>
      <c r="F9" s="28" t="str">
        <f>VLOOKUP(テーブル6235[[#This Row],[達成率]],$H$3:$I$7,2,FALSE)</f>
        <v>未実装</v>
      </c>
    </row>
    <row r="10" spans="1:9" x14ac:dyDescent="0.45">
      <c r="A10" s="8">
        <v>4</v>
      </c>
      <c r="B10" s="21" t="s">
        <v>78</v>
      </c>
      <c r="C10" s="5" t="s">
        <v>39</v>
      </c>
      <c r="D10" s="17">
        <f ca="1">IF(テーブル6235[[#This Row],[タスク]] = "","",TODAY())</f>
        <v>44130</v>
      </c>
      <c r="E10" s="19">
        <v>0</v>
      </c>
      <c r="F10" s="28" t="str">
        <f>VLOOKUP(テーブル6235[[#This Row],[達成率]],$H$3:$I$7,2,FALSE)</f>
        <v>未実装</v>
      </c>
    </row>
    <row r="11" spans="1:9" x14ac:dyDescent="0.45">
      <c r="A11" s="8">
        <v>5</v>
      </c>
      <c r="B11" s="21" t="s">
        <v>79</v>
      </c>
      <c r="C11" s="5" t="s">
        <v>39</v>
      </c>
      <c r="D11" s="17">
        <f ca="1">IF(テーブル6235[[#This Row],[タスク]] = "","",TODAY())</f>
        <v>44130</v>
      </c>
      <c r="E11" s="19">
        <v>0</v>
      </c>
      <c r="F11" s="28" t="str">
        <f>VLOOKUP(テーブル6235[[#This Row],[達成率]],$H$3:$I$7,2,FALSE)</f>
        <v>未実装</v>
      </c>
    </row>
    <row r="12" spans="1:9" x14ac:dyDescent="0.45">
      <c r="A12" s="8">
        <v>6</v>
      </c>
      <c r="B12" s="21" t="s">
        <v>80</v>
      </c>
      <c r="C12" s="5" t="s">
        <v>39</v>
      </c>
      <c r="D12" s="17">
        <f ca="1">IF(テーブル6235[[#This Row],[タスク]] = "","",TODAY())</f>
        <v>44130</v>
      </c>
      <c r="E12" s="19">
        <v>0</v>
      </c>
      <c r="F12" s="28" t="str">
        <f>VLOOKUP(テーブル6235[[#This Row],[達成率]],$H$3:$I$7,2,FALSE)</f>
        <v>未実装</v>
      </c>
    </row>
    <row r="13" spans="1:9" x14ac:dyDescent="0.45">
      <c r="A13" s="8">
        <v>7</v>
      </c>
      <c r="B13" s="21" t="s">
        <v>82</v>
      </c>
      <c r="C13" s="5" t="s">
        <v>39</v>
      </c>
      <c r="D13" s="17">
        <f ca="1">IF(テーブル6235[[#This Row],[タスク]] = "","",TODAY())</f>
        <v>44130</v>
      </c>
      <c r="E13" s="19">
        <v>0</v>
      </c>
      <c r="F13" s="28" t="str">
        <f>VLOOKUP(テーブル6235[[#This Row],[達成率]],$H$3:$I$7,2,FALSE)</f>
        <v>未実装</v>
      </c>
    </row>
    <row r="14" spans="1:9" x14ac:dyDescent="0.45">
      <c r="A14" s="8">
        <v>8</v>
      </c>
      <c r="B14" s="21" t="s">
        <v>81</v>
      </c>
      <c r="C14" s="5" t="s">
        <v>39</v>
      </c>
      <c r="D14" s="17">
        <f ca="1">IF(テーブル6235[[#This Row],[タスク]] = "","",TODAY())</f>
        <v>44130</v>
      </c>
      <c r="E14" s="19">
        <v>0</v>
      </c>
      <c r="F14" s="28" t="str">
        <f>VLOOKUP(テーブル6235[[#This Row],[達成率]],$H$3:$I$7,2,FALSE)</f>
        <v>未実装</v>
      </c>
    </row>
    <row r="15" spans="1:9" x14ac:dyDescent="0.45">
      <c r="A15" s="8">
        <v>9</v>
      </c>
      <c r="B15" s="21" t="s">
        <v>87</v>
      </c>
      <c r="C15" s="5" t="s">
        <v>39</v>
      </c>
      <c r="D15" s="17">
        <f ca="1">IF(テーブル6235[[#This Row],[タスク]] = "","",TODAY())</f>
        <v>44130</v>
      </c>
      <c r="E15" s="19">
        <v>0</v>
      </c>
      <c r="F15" s="28" t="str">
        <f>VLOOKUP(テーブル6235[[#This Row],[達成率]],$H$3:$I$7,2,FALSE)</f>
        <v>未実装</v>
      </c>
    </row>
    <row r="16" spans="1:9" x14ac:dyDescent="0.45">
      <c r="A16" s="8">
        <v>10</v>
      </c>
      <c r="B16" s="21" t="s">
        <v>85</v>
      </c>
      <c r="C16" s="5" t="s">
        <v>39</v>
      </c>
      <c r="D16" s="17">
        <f ca="1">IF(テーブル6235[[#This Row],[タスク]] = "","",TODAY())</f>
        <v>44130</v>
      </c>
      <c r="E16" s="19">
        <v>0</v>
      </c>
      <c r="F16" s="28" t="str">
        <f>VLOOKUP(テーブル6235[[#This Row],[達成率]],$H$3:$I$7,2,FALSE)</f>
        <v>未実装</v>
      </c>
    </row>
    <row r="17" spans="1:7" x14ac:dyDescent="0.45">
      <c r="A17" s="8">
        <v>11</v>
      </c>
      <c r="B17" s="21" t="s">
        <v>88</v>
      </c>
      <c r="C17" s="5" t="s">
        <v>39</v>
      </c>
      <c r="D17" s="17">
        <f ca="1">IF(テーブル6235[[#This Row],[タスク]] = "","",TODAY())</f>
        <v>44130</v>
      </c>
      <c r="E17" s="19">
        <v>0</v>
      </c>
      <c r="F17" s="28" t="str">
        <f>VLOOKUP(テーブル6235[[#This Row],[達成率]],$H$3:$I$7,2,FALSE)</f>
        <v>未実装</v>
      </c>
    </row>
    <row r="18" spans="1:7" x14ac:dyDescent="0.45">
      <c r="A18" s="8">
        <v>12</v>
      </c>
      <c r="B18" s="21" t="s">
        <v>89</v>
      </c>
      <c r="C18" s="5" t="s">
        <v>39</v>
      </c>
      <c r="D18" s="17">
        <f ca="1">IF(テーブル6235[[#This Row],[タスク]] = "","",TODAY())</f>
        <v>44130</v>
      </c>
      <c r="E18" s="19">
        <v>0</v>
      </c>
      <c r="F18" s="28" t="str">
        <f>VLOOKUP(テーブル6235[[#This Row],[達成率]],$H$3:$I$7,2,FALSE)</f>
        <v>未実装</v>
      </c>
    </row>
    <row r="19" spans="1:7" x14ac:dyDescent="0.45">
      <c r="A19" s="8">
        <v>13</v>
      </c>
      <c r="B19" s="21" t="s">
        <v>90</v>
      </c>
      <c r="C19" s="5" t="s">
        <v>39</v>
      </c>
      <c r="D19" s="17">
        <f ca="1">IF(テーブル6235[[#This Row],[タスク]] = "","",TODAY())</f>
        <v>44130</v>
      </c>
      <c r="E19" s="19">
        <v>0</v>
      </c>
      <c r="F19" s="28" t="str">
        <f>VLOOKUP(テーブル6235[[#This Row],[達成率]],$H$3:$I$7,2,FALSE)</f>
        <v>未実装</v>
      </c>
    </row>
    <row r="20" spans="1:7" x14ac:dyDescent="0.45">
      <c r="A20" s="8">
        <v>14</v>
      </c>
      <c r="B20" s="21" t="s">
        <v>91</v>
      </c>
      <c r="C20" s="5" t="s">
        <v>39</v>
      </c>
      <c r="D20" s="17">
        <f ca="1">IF(テーブル6235[[#This Row],[タスク]] = "","",TODAY())</f>
        <v>44130</v>
      </c>
      <c r="E20" s="19">
        <v>0</v>
      </c>
      <c r="F20" s="28" t="str">
        <f>VLOOKUP(テーブル6235[[#This Row],[達成率]],$H$3:$I$7,2,FALSE)</f>
        <v>未実装</v>
      </c>
    </row>
    <row r="21" spans="1:7" x14ac:dyDescent="0.45">
      <c r="A21" s="8">
        <v>15</v>
      </c>
      <c r="B21" s="21" t="s">
        <v>92</v>
      </c>
      <c r="C21" s="5" t="s">
        <v>39</v>
      </c>
      <c r="D21" s="17">
        <f ca="1">IF(テーブル6235[[#This Row],[タスク]] = "","",TODAY())</f>
        <v>44130</v>
      </c>
      <c r="E21" s="19">
        <v>0</v>
      </c>
      <c r="F21" s="28" t="str">
        <f>VLOOKUP(テーブル6235[[#This Row],[達成率]],$H$3:$I$7,2,FALSE)</f>
        <v>未実装</v>
      </c>
    </row>
    <row r="22" spans="1:7" x14ac:dyDescent="0.45">
      <c r="A22" s="8">
        <v>16</v>
      </c>
      <c r="B22" s="21"/>
      <c r="C22" s="5" t="s">
        <v>39</v>
      </c>
      <c r="D22" s="17" t="str">
        <f ca="1">IF(テーブル6235[[#This Row],[タスク]] = "","",TODAY())</f>
        <v/>
      </c>
      <c r="E22" s="19">
        <v>0</v>
      </c>
      <c r="F22" s="28" t="str">
        <f>VLOOKUP(テーブル6235[[#This Row],[達成率]],$H$3:$I$7,2,FALSE)</f>
        <v>未実装</v>
      </c>
      <c r="G22" s="23"/>
    </row>
    <row r="23" spans="1:7" x14ac:dyDescent="0.45">
      <c r="A23" s="8">
        <v>17</v>
      </c>
      <c r="B23" s="21"/>
      <c r="C23" s="5" t="s">
        <v>39</v>
      </c>
      <c r="D23" s="17" t="str">
        <f ca="1">IF(テーブル6235[[#This Row],[タスク]] = "","",TODAY())</f>
        <v/>
      </c>
      <c r="E23" s="19">
        <v>0</v>
      </c>
      <c r="F23" s="28" t="str">
        <f>VLOOKUP(テーブル6235[[#This Row],[達成率]],$H$3:$I$7,2,FALSE)</f>
        <v>未実装</v>
      </c>
    </row>
    <row r="24" spans="1:7" x14ac:dyDescent="0.45">
      <c r="A24" s="8">
        <v>18</v>
      </c>
      <c r="B24" s="21"/>
      <c r="C24" s="5" t="s">
        <v>39</v>
      </c>
      <c r="D24" s="17" t="str">
        <f ca="1">IF(テーブル6235[[#This Row],[タスク]] = "","",TODAY())</f>
        <v/>
      </c>
      <c r="E24" s="19">
        <v>0</v>
      </c>
      <c r="F24" s="28" t="str">
        <f>VLOOKUP(テーブル6235[[#This Row],[達成率]],$H$3:$I$7,2,FALSE)</f>
        <v>未実装</v>
      </c>
    </row>
    <row r="25" spans="1:7" x14ac:dyDescent="0.45">
      <c r="A25" s="8">
        <v>19</v>
      </c>
      <c r="B25" s="21"/>
      <c r="C25" s="5" t="s">
        <v>39</v>
      </c>
      <c r="D25" s="17" t="str">
        <f ca="1">IF(テーブル6235[[#This Row],[タスク]] = "","",TODAY())</f>
        <v/>
      </c>
      <c r="E25" s="19">
        <v>0</v>
      </c>
      <c r="F25" s="28" t="str">
        <f>VLOOKUP(テーブル6235[[#This Row],[達成率]],$H$3:$I$7,2,FALSE)</f>
        <v>未実装</v>
      </c>
    </row>
    <row r="26" spans="1:7" x14ac:dyDescent="0.45">
      <c r="A26" s="8">
        <v>20</v>
      </c>
      <c r="B26" s="21"/>
      <c r="C26" s="5" t="s">
        <v>39</v>
      </c>
      <c r="D26" s="17" t="str">
        <f ca="1">IF(テーブル6235[[#This Row],[タスク]] = "","",TODAY())</f>
        <v/>
      </c>
      <c r="E26" s="19">
        <v>0</v>
      </c>
      <c r="F26" s="28" t="str">
        <f>VLOOKUP(テーブル6235[[#This Row],[達成率]],$H$3:$I$7,2,FALSE)</f>
        <v>未実装</v>
      </c>
    </row>
    <row r="27" spans="1:7" x14ac:dyDescent="0.45">
      <c r="A27" s="8">
        <v>21</v>
      </c>
      <c r="B27" s="21"/>
      <c r="C27" s="5" t="s">
        <v>39</v>
      </c>
      <c r="D27" s="17" t="str">
        <f ca="1">IF(テーブル6235[[#This Row],[タスク]] = "","",TODAY())</f>
        <v/>
      </c>
      <c r="E27" s="19">
        <v>0</v>
      </c>
      <c r="F27" s="28" t="str">
        <f>VLOOKUP(テーブル6235[[#This Row],[達成率]],$H$3:$I$7,2,FALSE)</f>
        <v>未実装</v>
      </c>
    </row>
    <row r="28" spans="1:7" x14ac:dyDescent="0.45">
      <c r="A28" s="8">
        <v>22</v>
      </c>
      <c r="B28" s="21"/>
      <c r="C28" s="5" t="s">
        <v>39</v>
      </c>
      <c r="D28" s="17" t="str">
        <f ca="1">IF(テーブル6235[[#This Row],[タスク]] = "","",TODAY())</f>
        <v/>
      </c>
      <c r="E28" s="19">
        <v>0</v>
      </c>
      <c r="F28" s="28" t="str">
        <f>VLOOKUP(テーブル6235[[#This Row],[達成率]],$H$3:$I$7,2,FALSE)</f>
        <v>未実装</v>
      </c>
    </row>
    <row r="29" spans="1:7" x14ac:dyDescent="0.45">
      <c r="A29" s="8">
        <v>23</v>
      </c>
      <c r="B29" s="21"/>
      <c r="C29" s="5" t="s">
        <v>39</v>
      </c>
      <c r="D29" s="17" t="str">
        <f ca="1">IF(テーブル6235[[#This Row],[タスク]] = "","",TODAY())</f>
        <v/>
      </c>
      <c r="E29" s="19">
        <v>0</v>
      </c>
      <c r="F29" s="28" t="str">
        <f>VLOOKUP(テーブル6235[[#This Row],[達成率]],$H$3:$I$7,2,FALSE)</f>
        <v>未実装</v>
      </c>
    </row>
    <row r="30" spans="1:7" x14ac:dyDescent="0.45">
      <c r="A30" s="8">
        <v>24</v>
      </c>
      <c r="B30" s="21"/>
      <c r="C30" s="5" t="s">
        <v>39</v>
      </c>
      <c r="D30" s="17" t="str">
        <f ca="1">IF(テーブル6235[[#This Row],[タスク]] = "","",TODAY())</f>
        <v/>
      </c>
      <c r="E30" s="19">
        <v>0</v>
      </c>
      <c r="F30" s="28" t="str">
        <f>VLOOKUP(テーブル6235[[#This Row],[達成率]],$H$3:$I$7,2,FALSE)</f>
        <v>未実装</v>
      </c>
    </row>
  </sheetData>
  <mergeCells count="6">
    <mergeCell ref="A2:B2"/>
    <mergeCell ref="C2:F2"/>
    <mergeCell ref="A3:B3"/>
    <mergeCell ref="C3:F3"/>
    <mergeCell ref="A4:B4"/>
    <mergeCell ref="C4:F4"/>
  </mergeCells>
  <phoneticPr fontId="1"/>
  <conditionalFormatting sqref="H3:H7">
    <cfRule type="dataBar" priority="6">
      <dataBar>
        <cfvo type="num" val="0"/>
        <cfvo type="num" val="1"/>
        <color theme="0" tint="-0.34998626667073579"/>
      </dataBar>
      <extLst>
        <ext xmlns:x14="http://schemas.microsoft.com/office/spreadsheetml/2009/9/main" uri="{B025F937-C7B1-47D3-B67F-A62EFF666E3E}">
          <x14:id>{76627487-1AE2-4855-B63D-D28E271ACE2D}</x14:id>
        </ext>
      </extLst>
    </cfRule>
  </conditionalFormatting>
  <conditionalFormatting sqref="F7:F30">
    <cfRule type="expression" dxfId="59" priority="1">
      <formula xml:space="preserve"> $F7 = "完了"</formula>
    </cfRule>
    <cfRule type="expression" dxfId="58" priority="2">
      <formula xml:space="preserve"> $F7 = "順調"</formula>
    </cfRule>
    <cfRule type="expression" dxfId="57" priority="3">
      <formula xml:space="preserve"> $F7 = "注意"</formula>
    </cfRule>
    <cfRule type="expression" dxfId="56" priority="4">
      <formula xml:space="preserve"> $F7 = "危険"</formula>
    </cfRule>
    <cfRule type="expression" dxfId="55" priority="5" stopIfTrue="1">
      <formula xml:space="preserve"> $F7 = "未実装"</formula>
    </cfRule>
  </conditionalFormatting>
  <dataValidations count="2">
    <dataValidation type="list" allowBlank="1" showInputMessage="1" showErrorMessage="1" sqref="E7:E30">
      <formula1>達成率</formula1>
    </dataValidation>
    <dataValidation type="list" allowBlank="1" showInputMessage="1" showErrorMessage="1" sqref="H4:H7">
      <formula1>"100%,75%,50%,25%,0%"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27487-1AE2-4855-B63D-D28E271ACE2D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H3:H7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OFFSET(リスト!$A$7,0,0,COUNTA(リスト!$A:$A)-1,1)</xm:f>
          </x14:formula1>
          <xm:sqref>C7:C30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7"/>
  <sheetViews>
    <sheetView zoomScale="85" zoomScaleNormal="85" workbookViewId="0">
      <selection activeCell="D18" sqref="D18"/>
    </sheetView>
  </sheetViews>
  <sheetFormatPr defaultRowHeight="18" x14ac:dyDescent="0.45"/>
  <cols>
    <col min="1" max="1" width="8.69921875" customWidth="1"/>
    <col min="2" max="2" width="25.69921875" customWidth="1"/>
    <col min="3" max="3" width="13.19921875" customWidth="1"/>
    <col min="4" max="4" width="18.5" customWidth="1"/>
    <col min="5" max="5" width="10.296875" customWidth="1"/>
    <col min="6" max="6" width="9.09765625" customWidth="1"/>
  </cols>
  <sheetData>
    <row r="1" spans="1:9" ht="18.600000000000001" thickBot="1" x14ac:dyDescent="0.5">
      <c r="H1" t="s">
        <v>24</v>
      </c>
    </row>
    <row r="2" spans="1:9" ht="18.600000000000001" thickBot="1" x14ac:dyDescent="0.5">
      <c r="A2" s="44" t="s">
        <v>10</v>
      </c>
      <c r="B2" s="44"/>
      <c r="C2" s="47" t="str">
        <f ca="1">RIGHT(CELL("filename",A1),LEN(CELL("filename",A1))-FIND("]",CELL("filename",A1)))</f>
        <v>テクスチャ</v>
      </c>
      <c r="D2" s="48"/>
      <c r="E2" s="48"/>
      <c r="F2" s="49"/>
      <c r="H2" s="29" t="s">
        <v>23</v>
      </c>
      <c r="I2" s="30" t="s">
        <v>25</v>
      </c>
    </row>
    <row r="3" spans="1:9" x14ac:dyDescent="0.45">
      <c r="A3" s="44" t="s">
        <v>5</v>
      </c>
      <c r="B3" s="44"/>
      <c r="C3" s="41" t="s">
        <v>103</v>
      </c>
      <c r="D3" s="41"/>
      <c r="E3" s="41"/>
      <c r="F3" s="41"/>
      <c r="H3" s="31">
        <v>1</v>
      </c>
      <c r="I3" s="34" t="s">
        <v>27</v>
      </c>
    </row>
    <row r="4" spans="1:9" x14ac:dyDescent="0.45">
      <c r="A4" s="44" t="s">
        <v>6</v>
      </c>
      <c r="B4" s="44"/>
      <c r="C4" s="42">
        <v>44124</v>
      </c>
      <c r="D4" s="42"/>
      <c r="E4" s="42"/>
      <c r="F4" s="42"/>
      <c r="H4" s="32">
        <v>0.75</v>
      </c>
      <c r="I4" s="38" t="s">
        <v>28</v>
      </c>
    </row>
    <row r="5" spans="1:9" x14ac:dyDescent="0.45">
      <c r="H5" s="32">
        <v>0.5</v>
      </c>
      <c r="I5" s="35" t="s">
        <v>29</v>
      </c>
    </row>
    <row r="6" spans="1:9" x14ac:dyDescent="0.45">
      <c r="A6" s="9" t="s">
        <v>9</v>
      </c>
      <c r="B6" s="10" t="s">
        <v>22</v>
      </c>
      <c r="C6" s="10" t="s">
        <v>21</v>
      </c>
      <c r="D6" s="16" t="s">
        <v>20</v>
      </c>
      <c r="E6" s="24" t="s">
        <v>23</v>
      </c>
      <c r="F6" s="25" t="s">
        <v>25</v>
      </c>
      <c r="H6" s="32">
        <v>0.25</v>
      </c>
      <c r="I6" s="36" t="s">
        <v>26</v>
      </c>
    </row>
    <row r="7" spans="1:9" ht="18.600000000000001" thickBot="1" x14ac:dyDescent="0.5">
      <c r="A7" s="8">
        <v>1</v>
      </c>
      <c r="B7" s="20" t="s">
        <v>95</v>
      </c>
      <c r="C7" s="5" t="s">
        <v>39</v>
      </c>
      <c r="D7" s="17">
        <f ca="1">IF(テーブル62341112[[#This Row],[タスク]] = "","",TODAY())</f>
        <v>44130</v>
      </c>
      <c r="E7" s="19">
        <v>0</v>
      </c>
      <c r="F7" s="28" t="str">
        <f>VLOOKUP(テーブル62341112[[#This Row],[達成率]],$H$3:$I$7,2,FALSE)</f>
        <v>未実装</v>
      </c>
      <c r="H7" s="33">
        <v>0</v>
      </c>
      <c r="I7" s="37" t="s">
        <v>30</v>
      </c>
    </row>
    <row r="8" spans="1:9" x14ac:dyDescent="0.45">
      <c r="A8" s="8">
        <v>1</v>
      </c>
      <c r="B8" s="20" t="s">
        <v>96</v>
      </c>
      <c r="C8" s="5" t="s">
        <v>38</v>
      </c>
      <c r="D8" s="17">
        <f ca="1">IF(テーブル62341112[[#This Row],[タスク]] = "","",TODAY())</f>
        <v>44130</v>
      </c>
      <c r="E8" s="19">
        <v>1</v>
      </c>
      <c r="F8" s="28" t="str">
        <f>VLOOKUP(テーブル62341112[[#This Row],[達成率]],$H$3:$I$7,2,FALSE)</f>
        <v>完了</v>
      </c>
    </row>
    <row r="9" spans="1:9" x14ac:dyDescent="0.45">
      <c r="A9" s="8">
        <v>1</v>
      </c>
      <c r="B9" s="21" t="s">
        <v>97</v>
      </c>
      <c r="C9" s="5" t="s">
        <v>38</v>
      </c>
      <c r="D9" s="17">
        <f ca="1">IF(テーブル62341112[[#This Row],[タスク]] = "","",TODAY())</f>
        <v>44130</v>
      </c>
      <c r="E9" s="19">
        <v>1</v>
      </c>
      <c r="F9" s="28" t="str">
        <f>VLOOKUP(テーブル62341112[[#This Row],[達成率]],$H$3:$I$7,2,FALSE)</f>
        <v>完了</v>
      </c>
    </row>
    <row r="10" spans="1:9" x14ac:dyDescent="0.45">
      <c r="A10" s="8">
        <v>1</v>
      </c>
      <c r="B10" s="21" t="s">
        <v>98</v>
      </c>
      <c r="C10" s="5" t="s">
        <v>39</v>
      </c>
      <c r="D10" s="17">
        <f ca="1">IF(テーブル62341112[[#This Row],[タスク]] = "","",TODAY())</f>
        <v>44130</v>
      </c>
      <c r="E10" s="19">
        <v>0</v>
      </c>
      <c r="F10" s="28" t="str">
        <f>VLOOKUP(テーブル62341112[[#This Row],[達成率]],$H$3:$I$7,2,FALSE)</f>
        <v>未実装</v>
      </c>
    </row>
    <row r="11" spans="1:9" x14ac:dyDescent="0.45">
      <c r="A11" s="8">
        <v>1</v>
      </c>
      <c r="B11" s="21" t="s">
        <v>100</v>
      </c>
      <c r="C11" s="5" t="s">
        <v>39</v>
      </c>
      <c r="D11" s="17">
        <f ca="1">IF(テーブル62341112[[#This Row],[タスク]] = "","",TODAY())</f>
        <v>44130</v>
      </c>
      <c r="E11" s="19">
        <v>0</v>
      </c>
      <c r="F11" s="28" t="str">
        <f>VLOOKUP(テーブル62341112[[#This Row],[達成率]],$H$3:$I$7,2,FALSE)</f>
        <v>未実装</v>
      </c>
    </row>
    <row r="12" spans="1:9" x14ac:dyDescent="0.45">
      <c r="A12" s="8">
        <v>1</v>
      </c>
      <c r="B12" s="21" t="s">
        <v>99</v>
      </c>
      <c r="C12" s="5" t="s">
        <v>39</v>
      </c>
      <c r="D12" s="17">
        <f ca="1">IF(テーブル62341112[[#This Row],[タスク]] = "","",TODAY())</f>
        <v>44130</v>
      </c>
      <c r="E12" s="19">
        <v>0</v>
      </c>
      <c r="F12" s="28" t="str">
        <f>VLOOKUP(テーブル62341112[[#This Row],[達成率]],$H$3:$I$7,2,FALSE)</f>
        <v>未実装</v>
      </c>
    </row>
    <row r="13" spans="1:9" x14ac:dyDescent="0.45">
      <c r="A13" s="8">
        <v>1</v>
      </c>
      <c r="B13" s="21" t="s">
        <v>101</v>
      </c>
      <c r="C13" s="5" t="s">
        <v>39</v>
      </c>
      <c r="D13" s="17">
        <f ca="1">IF(テーブル62341112[[#This Row],[タスク]] = "","",TODAY())</f>
        <v>44130</v>
      </c>
      <c r="E13" s="19">
        <v>0</v>
      </c>
      <c r="F13" s="28" t="str">
        <f>VLOOKUP(テーブル62341112[[#This Row],[達成率]],$H$3:$I$7,2,FALSE)</f>
        <v>未実装</v>
      </c>
    </row>
    <row r="14" spans="1:9" x14ac:dyDescent="0.45">
      <c r="A14" s="8">
        <v>1</v>
      </c>
      <c r="B14" s="22" t="s">
        <v>58</v>
      </c>
      <c r="C14" s="5" t="s">
        <v>37</v>
      </c>
      <c r="D14" s="17">
        <f ca="1">IF(テーブル62341112[[#This Row],[タスク]] = "","",TODAY())</f>
        <v>44130</v>
      </c>
      <c r="E14" s="19">
        <v>1</v>
      </c>
      <c r="F14" s="28" t="str">
        <f>VLOOKUP(テーブル62341112[[#This Row],[達成率]],$H$3:$I$7,2,FALSE)</f>
        <v>完了</v>
      </c>
    </row>
    <row r="15" spans="1:9" x14ac:dyDescent="0.45">
      <c r="A15" s="8">
        <v>1</v>
      </c>
      <c r="B15" s="21" t="s">
        <v>69</v>
      </c>
      <c r="C15" s="5" t="s">
        <v>39</v>
      </c>
      <c r="D15" s="17">
        <f ca="1">IF(テーブル62341112[[#This Row],[タスク]] = "","",TODAY())</f>
        <v>44130</v>
      </c>
      <c r="E15" s="19">
        <v>0</v>
      </c>
      <c r="F15" s="28" t="str">
        <f>VLOOKUP(テーブル62341112[[#This Row],[達成率]],$H$3:$I$7,2,FALSE)</f>
        <v>未実装</v>
      </c>
    </row>
    <row r="16" spans="1:9" x14ac:dyDescent="0.45">
      <c r="A16" s="8">
        <v>1</v>
      </c>
      <c r="B16" s="21" t="s">
        <v>72</v>
      </c>
      <c r="C16" s="5" t="s">
        <v>39</v>
      </c>
      <c r="D16" s="17">
        <f ca="1">IF(テーブル62341112[[#This Row],[タスク]] = "","",TODAY())</f>
        <v>44130</v>
      </c>
      <c r="E16" s="19">
        <v>0</v>
      </c>
      <c r="F16" s="28" t="str">
        <f>VLOOKUP(テーブル62341112[[#This Row],[達成率]],$H$3:$I$7,2,FALSE)</f>
        <v>未実装</v>
      </c>
    </row>
    <row r="17" spans="1:7" x14ac:dyDescent="0.45">
      <c r="A17" s="8">
        <v>1</v>
      </c>
      <c r="B17" s="21" t="s">
        <v>73</v>
      </c>
      <c r="C17" s="5" t="s">
        <v>39</v>
      </c>
      <c r="D17" s="17">
        <f ca="1">IF(テーブル62341112[[#This Row],[タスク]] = "","",TODAY())</f>
        <v>44130</v>
      </c>
      <c r="E17" s="19">
        <v>0</v>
      </c>
      <c r="F17" s="28" t="str">
        <f>VLOOKUP(テーブル62341112[[#This Row],[達成率]],$H$3:$I$7,2,FALSE)</f>
        <v>未実装</v>
      </c>
    </row>
    <row r="18" spans="1:7" x14ac:dyDescent="0.45">
      <c r="A18" s="8">
        <v>1</v>
      </c>
      <c r="B18" s="26" t="s">
        <v>106</v>
      </c>
      <c r="C18" s="5" t="s">
        <v>39</v>
      </c>
      <c r="D18" s="17">
        <f ca="1">IF(テーブル62341112[[#This Row],[タスク]] = "","",TODAY())</f>
        <v>44130</v>
      </c>
      <c r="E18" s="19">
        <v>0</v>
      </c>
      <c r="F18" s="28" t="str">
        <f>VLOOKUP(テーブル62341112[[#This Row],[達成率]],$H$3:$I$7,2,FALSE)</f>
        <v>未実装</v>
      </c>
    </row>
    <row r="19" spans="1:7" x14ac:dyDescent="0.45">
      <c r="A19" s="8">
        <v>1</v>
      </c>
      <c r="B19" s="21"/>
      <c r="C19" s="5" t="s">
        <v>39</v>
      </c>
      <c r="D19" s="17" t="str">
        <f ca="1">IF(テーブル62341112[[#This Row],[タスク]] = "","",TODAY())</f>
        <v/>
      </c>
      <c r="E19" s="19">
        <v>0</v>
      </c>
      <c r="F19" s="28" t="str">
        <f>VLOOKUP(テーブル62341112[[#This Row],[達成率]],$H$3:$I$7,2,FALSE)</f>
        <v>未実装</v>
      </c>
    </row>
    <row r="22" spans="1:7" x14ac:dyDescent="0.45">
      <c r="D22" s="23"/>
      <c r="E22" s="23"/>
      <c r="F22" s="23"/>
      <c r="G22" s="23"/>
    </row>
    <row r="23" spans="1:7" x14ac:dyDescent="0.45">
      <c r="B23" s="23"/>
    </row>
    <row r="24" spans="1:7" x14ac:dyDescent="0.45">
      <c r="B24" s="23"/>
    </row>
    <row r="25" spans="1:7" x14ac:dyDescent="0.45">
      <c r="B25" s="23"/>
    </row>
    <row r="26" spans="1:7" x14ac:dyDescent="0.45">
      <c r="B26" s="23"/>
    </row>
    <row r="27" spans="1:7" x14ac:dyDescent="0.45">
      <c r="B27" s="23"/>
    </row>
  </sheetData>
  <mergeCells count="6">
    <mergeCell ref="A2:B2"/>
    <mergeCell ref="C2:F2"/>
    <mergeCell ref="A3:B3"/>
    <mergeCell ref="C3:F3"/>
    <mergeCell ref="A4:B4"/>
    <mergeCell ref="C4:F4"/>
  </mergeCells>
  <phoneticPr fontId="1"/>
  <conditionalFormatting sqref="H3:H7">
    <cfRule type="dataBar" priority="6">
      <dataBar>
        <cfvo type="num" val="0"/>
        <cfvo type="num" val="1"/>
        <color theme="0" tint="-0.34998626667073579"/>
      </dataBar>
      <extLst>
        <ext xmlns:x14="http://schemas.microsoft.com/office/spreadsheetml/2009/9/main" uri="{B025F937-C7B1-47D3-B67F-A62EFF666E3E}">
          <x14:id>{F59A1B4D-CB50-4E29-82FD-DFAB9130B4A4}</x14:id>
        </ext>
      </extLst>
    </cfRule>
  </conditionalFormatting>
  <conditionalFormatting sqref="F7:F19">
    <cfRule type="expression" dxfId="44" priority="1">
      <formula xml:space="preserve"> $F7 = "完了"</formula>
    </cfRule>
    <cfRule type="expression" dxfId="43" priority="2">
      <formula xml:space="preserve"> $F7 = "順調"</formula>
    </cfRule>
    <cfRule type="expression" dxfId="42" priority="3">
      <formula xml:space="preserve"> $F7 = "注意"</formula>
    </cfRule>
    <cfRule type="expression" dxfId="41" priority="4">
      <formula xml:space="preserve"> $F7 = "危険"</formula>
    </cfRule>
    <cfRule type="expression" dxfId="40" priority="5" stopIfTrue="1">
      <formula xml:space="preserve"> $F7 = "未実装"</formula>
    </cfRule>
  </conditionalFormatting>
  <dataValidations count="2">
    <dataValidation type="list" allowBlank="1" showInputMessage="1" showErrorMessage="1" sqref="E7:E19">
      <formula1>達成率</formula1>
    </dataValidation>
    <dataValidation type="list" allowBlank="1" showInputMessage="1" showErrorMessage="1" sqref="H4:H7">
      <formula1>"100%,75%,50%,25%,0%"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59A1B4D-CB50-4E29-82FD-DFAB9130B4A4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H3:H7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OFFSET(リスト!$A$7,0,0,COUNTA(リスト!$A:$A)-1,1)</xm:f>
          </x14:formula1>
          <xm:sqref>C7:C19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7"/>
  <sheetViews>
    <sheetView zoomScale="85" zoomScaleNormal="85" workbookViewId="0">
      <selection activeCell="I13" sqref="I13"/>
    </sheetView>
  </sheetViews>
  <sheetFormatPr defaultRowHeight="18" x14ac:dyDescent="0.45"/>
  <cols>
    <col min="1" max="1" width="8.69921875" customWidth="1"/>
    <col min="2" max="2" width="25.69921875" customWidth="1"/>
    <col min="3" max="3" width="13.19921875" customWidth="1"/>
    <col min="4" max="4" width="18.5" customWidth="1"/>
    <col min="5" max="5" width="10.296875" customWidth="1"/>
    <col min="6" max="6" width="9.09765625" customWidth="1"/>
  </cols>
  <sheetData>
    <row r="1" spans="1:9" ht="18.600000000000001" thickBot="1" x14ac:dyDescent="0.5">
      <c r="H1" t="s">
        <v>24</v>
      </c>
    </row>
    <row r="2" spans="1:9" ht="18.600000000000001" thickBot="1" x14ac:dyDescent="0.5">
      <c r="A2" s="44" t="s">
        <v>10</v>
      </c>
      <c r="B2" s="44"/>
      <c r="C2" s="47" t="str">
        <f ca="1">RIGHT(CELL("filename",A1),LEN(CELL("filename",A1))-FIND("]",CELL("filename",A1)))</f>
        <v>UI</v>
      </c>
      <c r="D2" s="48"/>
      <c r="E2" s="48"/>
      <c r="F2" s="49"/>
      <c r="H2" s="29" t="s">
        <v>23</v>
      </c>
      <c r="I2" s="30" t="s">
        <v>25</v>
      </c>
    </row>
    <row r="3" spans="1:9" x14ac:dyDescent="0.45">
      <c r="A3" s="44" t="s">
        <v>5</v>
      </c>
      <c r="B3" s="44"/>
      <c r="C3" s="41" t="s">
        <v>102</v>
      </c>
      <c r="D3" s="41"/>
      <c r="E3" s="41"/>
      <c r="F3" s="41"/>
      <c r="H3" s="31">
        <v>1</v>
      </c>
      <c r="I3" s="34" t="s">
        <v>27</v>
      </c>
    </row>
    <row r="4" spans="1:9" x14ac:dyDescent="0.45">
      <c r="A4" s="44" t="s">
        <v>6</v>
      </c>
      <c r="B4" s="44"/>
      <c r="C4" s="42">
        <v>44124</v>
      </c>
      <c r="D4" s="42"/>
      <c r="E4" s="42"/>
      <c r="F4" s="42"/>
      <c r="H4" s="32">
        <v>0.75</v>
      </c>
      <c r="I4" s="38" t="s">
        <v>28</v>
      </c>
    </row>
    <row r="5" spans="1:9" x14ac:dyDescent="0.45">
      <c r="H5" s="32">
        <v>0.5</v>
      </c>
      <c r="I5" s="35" t="s">
        <v>29</v>
      </c>
    </row>
    <row r="6" spans="1:9" x14ac:dyDescent="0.45">
      <c r="A6" s="9" t="s">
        <v>9</v>
      </c>
      <c r="B6" s="10" t="s">
        <v>22</v>
      </c>
      <c r="C6" s="10" t="s">
        <v>21</v>
      </c>
      <c r="D6" s="16" t="s">
        <v>20</v>
      </c>
      <c r="E6" s="24" t="s">
        <v>23</v>
      </c>
      <c r="F6" s="25" t="s">
        <v>25</v>
      </c>
      <c r="H6" s="32">
        <v>0.25</v>
      </c>
      <c r="I6" s="36" t="s">
        <v>26</v>
      </c>
    </row>
    <row r="7" spans="1:9" ht="18.600000000000001" thickBot="1" x14ac:dyDescent="0.5">
      <c r="A7" s="8">
        <v>3</v>
      </c>
      <c r="B7" s="20" t="s">
        <v>69</v>
      </c>
      <c r="C7" s="5" t="s">
        <v>38</v>
      </c>
      <c r="D7" s="17">
        <f ca="1">IF(テーブル6234[[#This Row],[タスク]] = "","",TODAY())</f>
        <v>44130</v>
      </c>
      <c r="E7" s="19">
        <v>0.5</v>
      </c>
      <c r="F7" s="28" t="str">
        <f>VLOOKUP(テーブル6234[[#This Row],[達成率]],$H$3:$I$7,2,FALSE)</f>
        <v>注意</v>
      </c>
      <c r="H7" s="33">
        <v>0</v>
      </c>
      <c r="I7" s="37" t="s">
        <v>30</v>
      </c>
    </row>
    <row r="8" spans="1:9" x14ac:dyDescent="0.45">
      <c r="A8" s="8">
        <v>4</v>
      </c>
      <c r="B8" s="20" t="s">
        <v>70</v>
      </c>
      <c r="C8" s="5" t="s">
        <v>38</v>
      </c>
      <c r="D8" s="17">
        <f ca="1">IF(テーブル6234[[#This Row],[タスク]] = "","",TODAY())</f>
        <v>44130</v>
      </c>
      <c r="E8" s="19">
        <v>0.5</v>
      </c>
      <c r="F8" s="28" t="str">
        <f>VLOOKUP(テーブル6234[[#This Row],[達成率]],$H$3:$I$7,2,FALSE)</f>
        <v>注意</v>
      </c>
    </row>
    <row r="9" spans="1:9" x14ac:dyDescent="0.45">
      <c r="A9" s="8">
        <v>5</v>
      </c>
      <c r="B9" s="21" t="s">
        <v>71</v>
      </c>
      <c r="C9" s="5" t="s">
        <v>38</v>
      </c>
      <c r="D9" s="17">
        <f ca="1">IF(テーブル6234[[#This Row],[タスク]] = "","",TODAY())</f>
        <v>44130</v>
      </c>
      <c r="E9" s="19">
        <v>0.5</v>
      </c>
      <c r="F9" s="28" t="str">
        <f>VLOOKUP(テーブル6234[[#This Row],[達成率]],$H$3:$I$7,2,FALSE)</f>
        <v>注意</v>
      </c>
    </row>
    <row r="10" spans="1:9" x14ac:dyDescent="0.45">
      <c r="A10" s="8">
        <v>6</v>
      </c>
      <c r="B10" s="21" t="s">
        <v>72</v>
      </c>
      <c r="C10" s="5" t="s">
        <v>38</v>
      </c>
      <c r="D10" s="17">
        <f ca="1">IF(テーブル6234[[#This Row],[タスク]] = "","",TODAY())</f>
        <v>44130</v>
      </c>
      <c r="E10" s="19">
        <v>0.5</v>
      </c>
      <c r="F10" s="28" t="str">
        <f>VLOOKUP(テーブル6234[[#This Row],[達成率]],$H$3:$I$7,2,FALSE)</f>
        <v>注意</v>
      </c>
    </row>
    <row r="11" spans="1:9" x14ac:dyDescent="0.45">
      <c r="A11" s="8">
        <v>7</v>
      </c>
      <c r="B11" s="21" t="s">
        <v>73</v>
      </c>
      <c r="C11" s="5" t="s">
        <v>38</v>
      </c>
      <c r="D11" s="17">
        <f ca="1">IF(テーブル6234[[#This Row],[タスク]] = "","",TODAY())</f>
        <v>44130</v>
      </c>
      <c r="E11" s="19">
        <v>0.5</v>
      </c>
      <c r="F11" s="28" t="str">
        <f>VLOOKUP(テーブル6234[[#This Row],[達成率]],$H$3:$I$7,2,FALSE)</f>
        <v>注意</v>
      </c>
    </row>
    <row r="12" spans="1:9" x14ac:dyDescent="0.45">
      <c r="A12" s="8">
        <v>8</v>
      </c>
      <c r="B12" s="21" t="s">
        <v>105</v>
      </c>
      <c r="C12" s="5" t="s">
        <v>38</v>
      </c>
      <c r="D12" s="17">
        <f ca="1">IF(テーブル6234[[#This Row],[タスク]] = "","",TODAY())</f>
        <v>44130</v>
      </c>
      <c r="E12" s="19">
        <v>0.25</v>
      </c>
      <c r="F12" s="28" t="str">
        <f>VLOOKUP(テーブル6234[[#This Row],[達成率]],$H$3:$I$7,2,FALSE)</f>
        <v>危険</v>
      </c>
    </row>
    <row r="13" spans="1:9" x14ac:dyDescent="0.45">
      <c r="A13" s="8">
        <v>9</v>
      </c>
      <c r="B13" s="21"/>
      <c r="C13" s="5" t="s">
        <v>39</v>
      </c>
      <c r="D13" s="17" t="str">
        <f ca="1">IF(テーブル6234[[#This Row],[タスク]] = "","",TODAY())</f>
        <v/>
      </c>
      <c r="E13" s="19">
        <v>0</v>
      </c>
      <c r="F13" s="28" t="str">
        <f>VLOOKUP(テーブル6234[[#This Row],[達成率]],$H$3:$I$7,2,FALSE)</f>
        <v>未実装</v>
      </c>
    </row>
    <row r="14" spans="1:9" x14ac:dyDescent="0.45">
      <c r="A14" s="11">
        <v>10</v>
      </c>
      <c r="B14" s="22"/>
      <c r="C14" s="5" t="s">
        <v>39</v>
      </c>
      <c r="D14" s="17" t="str">
        <f ca="1">IF(テーブル6234[[#This Row],[タスク]] = "","",TODAY())</f>
        <v/>
      </c>
      <c r="E14" s="19">
        <v>0</v>
      </c>
      <c r="F14" s="28" t="str">
        <f>VLOOKUP(テーブル6234[[#This Row],[達成率]],$H$3:$I$7,2,FALSE)</f>
        <v>未実装</v>
      </c>
    </row>
    <row r="15" spans="1:9" x14ac:dyDescent="0.45">
      <c r="A15" s="11">
        <v>11</v>
      </c>
      <c r="B15" s="21"/>
      <c r="C15" s="5" t="s">
        <v>39</v>
      </c>
      <c r="D15" s="17" t="str">
        <f ca="1">IF(テーブル6234[[#This Row],[タスク]] = "","",TODAY())</f>
        <v/>
      </c>
      <c r="E15" s="19">
        <v>0</v>
      </c>
      <c r="F15" s="28" t="str">
        <f>VLOOKUP(テーブル6234[[#This Row],[達成率]],$H$3:$I$7,2,FALSE)</f>
        <v>未実装</v>
      </c>
    </row>
    <row r="16" spans="1:9" x14ac:dyDescent="0.45">
      <c r="A16" s="11">
        <v>12</v>
      </c>
      <c r="B16" s="21"/>
      <c r="C16" s="5" t="s">
        <v>39</v>
      </c>
      <c r="D16" s="17" t="str">
        <f ca="1">IF(テーブル6234[[#This Row],[タスク]] = "","",TODAY())</f>
        <v/>
      </c>
      <c r="E16" s="19">
        <v>0</v>
      </c>
      <c r="F16" s="28" t="str">
        <f>VLOOKUP(テーブル6234[[#This Row],[達成率]],$H$3:$I$7,2,FALSE)</f>
        <v>未実装</v>
      </c>
    </row>
    <row r="17" spans="1:7" x14ac:dyDescent="0.45">
      <c r="A17" s="11">
        <v>13</v>
      </c>
      <c r="B17" s="21"/>
      <c r="C17" s="5" t="s">
        <v>39</v>
      </c>
      <c r="D17" s="17" t="str">
        <f ca="1">IF(テーブル6234[[#This Row],[タスク]] = "","",TODAY())</f>
        <v/>
      </c>
      <c r="E17" s="19">
        <v>0</v>
      </c>
      <c r="F17" s="28" t="str">
        <f>VLOOKUP(テーブル6234[[#This Row],[達成率]],$H$3:$I$7,2,FALSE)</f>
        <v>未実装</v>
      </c>
    </row>
    <row r="18" spans="1:7" x14ac:dyDescent="0.45">
      <c r="A18" s="11">
        <v>14</v>
      </c>
      <c r="B18" s="26"/>
      <c r="C18" s="5" t="s">
        <v>39</v>
      </c>
      <c r="D18" s="17" t="str">
        <f ca="1">IF(テーブル6234[[#This Row],[タスク]] = "","",TODAY())</f>
        <v/>
      </c>
      <c r="E18" s="19">
        <v>0</v>
      </c>
      <c r="F18" s="28" t="str">
        <f>VLOOKUP(テーブル6234[[#This Row],[達成率]],$H$3:$I$7,2,FALSE)</f>
        <v>未実装</v>
      </c>
    </row>
    <row r="19" spans="1:7" x14ac:dyDescent="0.45">
      <c r="A19" s="11">
        <v>2</v>
      </c>
      <c r="B19" s="21"/>
      <c r="C19" s="5" t="s">
        <v>39</v>
      </c>
      <c r="D19" s="17" t="str">
        <f ca="1">IF(テーブル6234[[#This Row],[タスク]] = "","",TODAY())</f>
        <v/>
      </c>
      <c r="E19" s="19">
        <v>0</v>
      </c>
      <c r="F19" s="28" t="str">
        <f>VLOOKUP(テーブル6234[[#This Row],[達成率]],$H$3:$I$7,2,FALSE)</f>
        <v>未実装</v>
      </c>
    </row>
    <row r="22" spans="1:7" x14ac:dyDescent="0.45">
      <c r="D22" s="23"/>
      <c r="E22" s="23"/>
      <c r="F22" s="23"/>
      <c r="G22" s="23"/>
    </row>
    <row r="23" spans="1:7" x14ac:dyDescent="0.45">
      <c r="B23" s="23"/>
    </row>
    <row r="24" spans="1:7" x14ac:dyDescent="0.45">
      <c r="B24" s="23"/>
    </row>
    <row r="25" spans="1:7" x14ac:dyDescent="0.45">
      <c r="B25" s="23"/>
    </row>
    <row r="26" spans="1:7" x14ac:dyDescent="0.45">
      <c r="B26" s="23"/>
    </row>
    <row r="27" spans="1:7" x14ac:dyDescent="0.45">
      <c r="B27" s="23"/>
    </row>
  </sheetData>
  <mergeCells count="6">
    <mergeCell ref="A2:B2"/>
    <mergeCell ref="C2:F2"/>
    <mergeCell ref="A3:B3"/>
    <mergeCell ref="C3:F3"/>
    <mergeCell ref="A4:B4"/>
    <mergeCell ref="C4:F4"/>
  </mergeCells>
  <phoneticPr fontId="1"/>
  <conditionalFormatting sqref="H3:H7">
    <cfRule type="dataBar" priority="6">
      <dataBar>
        <cfvo type="num" val="0"/>
        <cfvo type="num" val="1"/>
        <color theme="0" tint="-0.34998626667073579"/>
      </dataBar>
      <extLst>
        <ext xmlns:x14="http://schemas.microsoft.com/office/spreadsheetml/2009/9/main" uri="{B025F937-C7B1-47D3-B67F-A62EFF666E3E}">
          <x14:id>{DB01FF2E-6930-4230-A029-0F76153103FD}</x14:id>
        </ext>
      </extLst>
    </cfRule>
  </conditionalFormatting>
  <conditionalFormatting sqref="F7:F19">
    <cfRule type="expression" dxfId="29" priority="1">
      <formula xml:space="preserve"> $F7 = "完了"</formula>
    </cfRule>
    <cfRule type="expression" dxfId="28" priority="2">
      <formula xml:space="preserve"> $F7 = "順調"</formula>
    </cfRule>
    <cfRule type="expression" dxfId="27" priority="3">
      <formula xml:space="preserve"> $F7 = "注意"</formula>
    </cfRule>
    <cfRule type="expression" dxfId="26" priority="4">
      <formula xml:space="preserve"> $F7 = "危険"</formula>
    </cfRule>
    <cfRule type="expression" dxfId="25" priority="5" stopIfTrue="1">
      <formula xml:space="preserve"> $F7 = "未実装"</formula>
    </cfRule>
  </conditionalFormatting>
  <dataValidations count="2">
    <dataValidation type="list" allowBlank="1" showInputMessage="1" showErrorMessage="1" sqref="E7:E19">
      <formula1>達成率</formula1>
    </dataValidation>
    <dataValidation type="list" allowBlank="1" showInputMessage="1" showErrorMessage="1" sqref="H4:H7">
      <formula1>"100%,75%,50%,25%,0%"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B01FF2E-6930-4230-A029-0F76153103FD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H3:H7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OFFSET(リスト!$A$7,0,0,COUNTA(リスト!$A:$A)-1,1)</xm:f>
          </x14:formula1>
          <xm:sqref>C7:C19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7"/>
  <sheetViews>
    <sheetView zoomScale="85" zoomScaleNormal="85" workbookViewId="0">
      <selection activeCell="L10" sqref="L10"/>
    </sheetView>
  </sheetViews>
  <sheetFormatPr defaultRowHeight="18" x14ac:dyDescent="0.45"/>
  <cols>
    <col min="1" max="1" width="8.69921875" customWidth="1"/>
    <col min="2" max="2" width="25.69921875" customWidth="1"/>
    <col min="3" max="3" width="13.19921875" customWidth="1"/>
    <col min="4" max="4" width="18.5" customWidth="1"/>
    <col min="5" max="5" width="10.296875" customWidth="1"/>
    <col min="6" max="6" width="9.09765625" customWidth="1"/>
  </cols>
  <sheetData>
    <row r="1" spans="1:9" ht="18.600000000000001" thickBot="1" x14ac:dyDescent="0.5">
      <c r="H1" t="s">
        <v>24</v>
      </c>
    </row>
    <row r="2" spans="1:9" ht="18.600000000000001" thickBot="1" x14ac:dyDescent="0.5">
      <c r="A2" s="44" t="s">
        <v>10</v>
      </c>
      <c r="B2" s="44"/>
      <c r="C2" s="47" t="str">
        <f ca="1">RIGHT(CELL("filename",A1),LEN(CELL("filename",A1))-FIND("]",CELL("filename",A1)))</f>
        <v>モーション</v>
      </c>
      <c r="D2" s="48"/>
      <c r="E2" s="48"/>
      <c r="F2" s="49"/>
      <c r="H2" s="29" t="s">
        <v>23</v>
      </c>
      <c r="I2" s="30" t="s">
        <v>25</v>
      </c>
    </row>
    <row r="3" spans="1:9" x14ac:dyDescent="0.45">
      <c r="A3" s="44" t="s">
        <v>5</v>
      </c>
      <c r="B3" s="44"/>
      <c r="C3" s="41" t="s">
        <v>103</v>
      </c>
      <c r="D3" s="41"/>
      <c r="E3" s="41"/>
      <c r="F3" s="41"/>
      <c r="H3" s="31">
        <v>1</v>
      </c>
      <c r="I3" s="34" t="s">
        <v>27</v>
      </c>
    </row>
    <row r="4" spans="1:9" x14ac:dyDescent="0.45">
      <c r="A4" s="44" t="s">
        <v>6</v>
      </c>
      <c r="B4" s="44"/>
      <c r="C4" s="42">
        <v>44124</v>
      </c>
      <c r="D4" s="42"/>
      <c r="E4" s="42"/>
      <c r="F4" s="42"/>
      <c r="H4" s="32">
        <v>0.75</v>
      </c>
      <c r="I4" s="38" t="s">
        <v>28</v>
      </c>
    </row>
    <row r="5" spans="1:9" x14ac:dyDescent="0.45">
      <c r="H5" s="32">
        <v>0.5</v>
      </c>
      <c r="I5" s="35" t="s">
        <v>29</v>
      </c>
    </row>
    <row r="6" spans="1:9" x14ac:dyDescent="0.45">
      <c r="A6" s="9" t="s">
        <v>9</v>
      </c>
      <c r="B6" s="10" t="s">
        <v>22</v>
      </c>
      <c r="C6" s="10" t="s">
        <v>21</v>
      </c>
      <c r="D6" s="16" t="s">
        <v>20</v>
      </c>
      <c r="E6" s="24" t="s">
        <v>23</v>
      </c>
      <c r="F6" s="25" t="s">
        <v>25</v>
      </c>
      <c r="H6" s="32">
        <v>0.25</v>
      </c>
      <c r="I6" s="36" t="s">
        <v>26</v>
      </c>
    </row>
    <row r="7" spans="1:9" ht="18.600000000000001" thickBot="1" x14ac:dyDescent="0.5">
      <c r="A7" s="8">
        <v>3</v>
      </c>
      <c r="B7" s="20" t="s">
        <v>51</v>
      </c>
      <c r="C7" s="5" t="s">
        <v>39</v>
      </c>
      <c r="D7" s="17">
        <f ca="1">IF(テーブル623411[[#This Row],[タスク]] = "","",TODAY())</f>
        <v>44130</v>
      </c>
      <c r="E7" s="19">
        <v>0</v>
      </c>
      <c r="F7" s="28" t="str">
        <f>VLOOKUP(テーブル623411[[#This Row],[達成率]],$H$3:$I$7,2,FALSE)</f>
        <v>未実装</v>
      </c>
      <c r="H7" s="33">
        <v>0</v>
      </c>
      <c r="I7" s="37" t="s">
        <v>30</v>
      </c>
    </row>
    <row r="8" spans="1:9" x14ac:dyDescent="0.45">
      <c r="A8" s="8">
        <v>4</v>
      </c>
      <c r="B8" s="20" t="s">
        <v>52</v>
      </c>
      <c r="C8" s="5" t="s">
        <v>35</v>
      </c>
      <c r="D8" s="17">
        <f ca="1">IF(テーブル623411[[#This Row],[タスク]] = "","",TODAY())</f>
        <v>44130</v>
      </c>
      <c r="E8" s="19">
        <v>0</v>
      </c>
      <c r="F8" s="28" t="str">
        <f>VLOOKUP(テーブル623411[[#This Row],[達成率]],$H$3:$I$7,2,FALSE)</f>
        <v>未実装</v>
      </c>
    </row>
    <row r="9" spans="1:9" x14ac:dyDescent="0.45">
      <c r="A9" s="8">
        <v>5</v>
      </c>
      <c r="B9" s="21" t="s">
        <v>53</v>
      </c>
      <c r="C9" s="5" t="s">
        <v>35</v>
      </c>
      <c r="D9" s="17">
        <f ca="1">IF(テーブル623411[[#This Row],[タスク]] = "","",TODAY())</f>
        <v>44130</v>
      </c>
      <c r="E9" s="19">
        <v>0</v>
      </c>
      <c r="F9" s="28" t="str">
        <f>VLOOKUP(テーブル623411[[#This Row],[達成率]],$H$3:$I$7,2,FALSE)</f>
        <v>未実装</v>
      </c>
    </row>
    <row r="10" spans="1:9" x14ac:dyDescent="0.45">
      <c r="A10" s="8">
        <v>6</v>
      </c>
      <c r="B10" s="21" t="s">
        <v>54</v>
      </c>
      <c r="C10" s="5" t="s">
        <v>35</v>
      </c>
      <c r="D10" s="17">
        <f ca="1">IF(テーブル623411[[#This Row],[タスク]] = "","",TODAY())</f>
        <v>44130</v>
      </c>
      <c r="E10" s="19">
        <v>0.25</v>
      </c>
      <c r="F10" s="28" t="str">
        <f>VLOOKUP(テーブル623411[[#This Row],[達成率]],$H$3:$I$7,2,FALSE)</f>
        <v>危険</v>
      </c>
    </row>
    <row r="11" spans="1:9" x14ac:dyDescent="0.45">
      <c r="A11" s="8">
        <v>7</v>
      </c>
      <c r="B11" s="21" t="s">
        <v>55</v>
      </c>
      <c r="C11" s="5" t="s">
        <v>39</v>
      </c>
      <c r="D11" s="17">
        <f ca="1">IF(テーブル623411[[#This Row],[タスク]] = "","",TODAY())</f>
        <v>44130</v>
      </c>
      <c r="E11" s="19">
        <v>0</v>
      </c>
      <c r="F11" s="28" t="str">
        <f>VLOOKUP(テーブル623411[[#This Row],[達成率]],$H$3:$I$7,2,FALSE)</f>
        <v>未実装</v>
      </c>
    </row>
    <row r="12" spans="1:9" x14ac:dyDescent="0.45">
      <c r="A12" s="8">
        <v>8</v>
      </c>
      <c r="B12" s="21" t="s">
        <v>56</v>
      </c>
      <c r="C12" s="5" t="s">
        <v>39</v>
      </c>
      <c r="D12" s="17">
        <f ca="1">IF(テーブル623411[[#This Row],[タスク]] = "","",TODAY())</f>
        <v>44130</v>
      </c>
      <c r="E12" s="19">
        <v>0</v>
      </c>
      <c r="F12" s="28" t="str">
        <f>VLOOKUP(テーブル623411[[#This Row],[達成率]],$H$3:$I$7,2,FALSE)</f>
        <v>未実装</v>
      </c>
    </row>
    <row r="13" spans="1:9" x14ac:dyDescent="0.45">
      <c r="A13" s="8">
        <v>9</v>
      </c>
      <c r="B13" s="21" t="s">
        <v>57</v>
      </c>
      <c r="C13" s="5" t="s">
        <v>39</v>
      </c>
      <c r="D13" s="17">
        <f ca="1">IF(テーブル623411[[#This Row],[タスク]] = "","",TODAY())</f>
        <v>44130</v>
      </c>
      <c r="E13" s="19">
        <v>0</v>
      </c>
      <c r="F13" s="28" t="str">
        <f>VLOOKUP(テーブル623411[[#This Row],[達成率]],$H$3:$I$7,2,FALSE)</f>
        <v>未実装</v>
      </c>
    </row>
    <row r="14" spans="1:9" x14ac:dyDescent="0.45">
      <c r="A14" s="11">
        <v>10</v>
      </c>
      <c r="B14" s="22"/>
      <c r="C14" s="5" t="s">
        <v>39</v>
      </c>
      <c r="D14" s="17" t="str">
        <f ca="1">IF(テーブル623411[[#This Row],[タスク]] = "","",TODAY())</f>
        <v/>
      </c>
      <c r="E14" s="19">
        <v>0</v>
      </c>
      <c r="F14" s="28" t="str">
        <f>VLOOKUP(テーブル623411[[#This Row],[達成率]],$H$3:$I$7,2,FALSE)</f>
        <v>未実装</v>
      </c>
    </row>
    <row r="15" spans="1:9" x14ac:dyDescent="0.45">
      <c r="A15" s="11">
        <v>11</v>
      </c>
      <c r="B15" s="21"/>
      <c r="C15" s="5" t="s">
        <v>39</v>
      </c>
      <c r="D15" s="17" t="str">
        <f ca="1">IF(テーブル623411[[#This Row],[タスク]] = "","",TODAY())</f>
        <v/>
      </c>
      <c r="E15" s="19">
        <v>0</v>
      </c>
      <c r="F15" s="28" t="str">
        <f>VLOOKUP(テーブル623411[[#This Row],[達成率]],$H$3:$I$7,2,FALSE)</f>
        <v>未実装</v>
      </c>
    </row>
    <row r="16" spans="1:9" x14ac:dyDescent="0.45">
      <c r="A16" s="11">
        <v>12</v>
      </c>
      <c r="B16" s="21"/>
      <c r="C16" s="5" t="s">
        <v>39</v>
      </c>
      <c r="D16" s="17" t="str">
        <f ca="1">IF(テーブル623411[[#This Row],[タスク]] = "","",TODAY())</f>
        <v/>
      </c>
      <c r="E16" s="19">
        <v>0</v>
      </c>
      <c r="F16" s="28" t="str">
        <f>VLOOKUP(テーブル623411[[#This Row],[達成率]],$H$3:$I$7,2,FALSE)</f>
        <v>未実装</v>
      </c>
    </row>
    <row r="17" spans="1:7" x14ac:dyDescent="0.45">
      <c r="A17" s="11">
        <v>13</v>
      </c>
      <c r="B17" s="21"/>
      <c r="C17" s="5" t="s">
        <v>39</v>
      </c>
      <c r="D17" s="17" t="str">
        <f ca="1">IF(テーブル623411[[#This Row],[タスク]] = "","",TODAY())</f>
        <v/>
      </c>
      <c r="E17" s="19">
        <v>0</v>
      </c>
      <c r="F17" s="28" t="str">
        <f>VLOOKUP(テーブル623411[[#This Row],[達成率]],$H$3:$I$7,2,FALSE)</f>
        <v>未実装</v>
      </c>
    </row>
    <row r="18" spans="1:7" x14ac:dyDescent="0.45">
      <c r="A18" s="11">
        <v>14</v>
      </c>
      <c r="B18" s="26"/>
      <c r="C18" s="5" t="s">
        <v>39</v>
      </c>
      <c r="D18" s="17" t="str">
        <f ca="1">IF(テーブル623411[[#This Row],[タスク]] = "","",TODAY())</f>
        <v/>
      </c>
      <c r="E18" s="19">
        <v>0</v>
      </c>
      <c r="F18" s="28" t="str">
        <f>VLOOKUP(テーブル623411[[#This Row],[達成率]],$H$3:$I$7,2,FALSE)</f>
        <v>未実装</v>
      </c>
    </row>
    <row r="19" spans="1:7" x14ac:dyDescent="0.45">
      <c r="A19" s="11">
        <v>2</v>
      </c>
      <c r="B19" s="21"/>
      <c r="C19" s="5" t="s">
        <v>39</v>
      </c>
      <c r="D19" s="17" t="str">
        <f ca="1">IF(テーブル623411[[#This Row],[タスク]] = "","",TODAY())</f>
        <v/>
      </c>
      <c r="E19" s="19">
        <v>0</v>
      </c>
      <c r="F19" s="28" t="str">
        <f>VLOOKUP(テーブル623411[[#This Row],[達成率]],$H$3:$I$7,2,FALSE)</f>
        <v>未実装</v>
      </c>
    </row>
    <row r="22" spans="1:7" x14ac:dyDescent="0.45">
      <c r="D22" s="23"/>
      <c r="E22" s="23"/>
      <c r="F22" s="23"/>
      <c r="G22" s="23"/>
    </row>
    <row r="23" spans="1:7" x14ac:dyDescent="0.45">
      <c r="B23" s="23"/>
    </row>
    <row r="24" spans="1:7" x14ac:dyDescent="0.45">
      <c r="B24" s="23"/>
    </row>
    <row r="25" spans="1:7" x14ac:dyDescent="0.45">
      <c r="B25" s="23"/>
    </row>
    <row r="26" spans="1:7" x14ac:dyDescent="0.45">
      <c r="B26" s="23"/>
    </row>
    <row r="27" spans="1:7" x14ac:dyDescent="0.45">
      <c r="B27" s="23"/>
    </row>
  </sheetData>
  <mergeCells count="6">
    <mergeCell ref="A2:B2"/>
    <mergeCell ref="C2:F2"/>
    <mergeCell ref="A3:B3"/>
    <mergeCell ref="C3:F3"/>
    <mergeCell ref="A4:B4"/>
    <mergeCell ref="C4:F4"/>
  </mergeCells>
  <phoneticPr fontId="1"/>
  <conditionalFormatting sqref="H3:H7">
    <cfRule type="dataBar" priority="6">
      <dataBar>
        <cfvo type="num" val="0"/>
        <cfvo type="num" val="1"/>
        <color theme="0" tint="-0.34998626667073579"/>
      </dataBar>
      <extLst>
        <ext xmlns:x14="http://schemas.microsoft.com/office/spreadsheetml/2009/9/main" uri="{B025F937-C7B1-47D3-B67F-A62EFF666E3E}">
          <x14:id>{45CF77F6-34AA-4D66-B082-0B8D43A0E6B4}</x14:id>
        </ext>
      </extLst>
    </cfRule>
  </conditionalFormatting>
  <conditionalFormatting sqref="F7:F19">
    <cfRule type="expression" dxfId="14" priority="1">
      <formula xml:space="preserve"> $F7 = "完了"</formula>
    </cfRule>
    <cfRule type="expression" dxfId="13" priority="2">
      <formula xml:space="preserve"> $F7 = "順調"</formula>
    </cfRule>
    <cfRule type="expression" dxfId="12" priority="3">
      <formula xml:space="preserve"> $F7 = "注意"</formula>
    </cfRule>
    <cfRule type="expression" dxfId="11" priority="4">
      <formula xml:space="preserve"> $F7 = "危険"</formula>
    </cfRule>
    <cfRule type="expression" dxfId="10" priority="5" stopIfTrue="1">
      <formula xml:space="preserve"> $F7 = "未実装"</formula>
    </cfRule>
  </conditionalFormatting>
  <dataValidations count="2">
    <dataValidation type="list" allowBlank="1" showInputMessage="1" showErrorMessage="1" sqref="H4:H7">
      <formula1>"100%,75%,50%,25%,0%"</formula1>
    </dataValidation>
    <dataValidation type="list" allowBlank="1" showInputMessage="1" showErrorMessage="1" sqref="E7:E19">
      <formula1>達成率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5CF77F6-34AA-4D66-B082-0B8D43A0E6B4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H3:H7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OFFSET(リスト!$A$7,0,0,COUNTA(リスト!$A:$A)-1,1)</xm:f>
          </x14:formula1>
          <xm:sqref>C7:C19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3"/>
  <sheetViews>
    <sheetView workbookViewId="0">
      <selection activeCell="A14" sqref="A14"/>
    </sheetView>
  </sheetViews>
  <sheetFormatPr defaultRowHeight="18" x14ac:dyDescent="0.45"/>
  <cols>
    <col min="1" max="1" width="11" customWidth="1"/>
  </cols>
  <sheetData>
    <row r="2" spans="1:6" x14ac:dyDescent="0.45">
      <c r="A2" s="44" t="s">
        <v>10</v>
      </c>
      <c r="B2" s="44"/>
      <c r="C2" s="47" t="str">
        <f ca="1">RIGHT(CELL("filename",A1),LEN(CELL("filename",A1))-FIND("]",CELL("filename",A1)))</f>
        <v>リスト</v>
      </c>
      <c r="D2" s="48"/>
      <c r="E2" s="48"/>
      <c r="F2" s="49"/>
    </row>
    <row r="3" spans="1:6" x14ac:dyDescent="0.45">
      <c r="A3" s="44" t="s">
        <v>5</v>
      </c>
      <c r="B3" s="44"/>
      <c r="C3" s="41" t="s">
        <v>7</v>
      </c>
      <c r="D3" s="41"/>
      <c r="E3" s="41"/>
      <c r="F3" s="41"/>
    </row>
    <row r="4" spans="1:6" x14ac:dyDescent="0.45">
      <c r="A4" s="44" t="s">
        <v>6</v>
      </c>
      <c r="B4" s="44"/>
      <c r="C4" s="42">
        <v>44124</v>
      </c>
      <c r="D4" s="42"/>
      <c r="E4" s="42"/>
      <c r="F4" s="42"/>
    </row>
    <row r="6" spans="1:6" x14ac:dyDescent="0.45">
      <c r="A6" s="3" t="s">
        <v>31</v>
      </c>
      <c r="B6" s="27" t="s">
        <v>32</v>
      </c>
      <c r="C6" s="3" t="s">
        <v>10</v>
      </c>
      <c r="D6" s="3"/>
      <c r="E6" s="3" t="s">
        <v>10</v>
      </c>
      <c r="F6" s="3"/>
    </row>
    <row r="7" spans="1:6" x14ac:dyDescent="0.45">
      <c r="A7" s="18" t="s">
        <v>33</v>
      </c>
    </row>
    <row r="8" spans="1:6" x14ac:dyDescent="0.45">
      <c r="A8" s="18" t="s">
        <v>34</v>
      </c>
    </row>
    <row r="9" spans="1:6" x14ac:dyDescent="0.45">
      <c r="A9" s="18" t="s">
        <v>35</v>
      </c>
    </row>
    <row r="10" spans="1:6" x14ac:dyDescent="0.45">
      <c r="A10" s="18" t="s">
        <v>36</v>
      </c>
    </row>
    <row r="11" spans="1:6" x14ac:dyDescent="0.45">
      <c r="A11" s="18" t="s">
        <v>37</v>
      </c>
    </row>
    <row r="12" spans="1:6" x14ac:dyDescent="0.45">
      <c r="A12" s="18" t="s">
        <v>38</v>
      </c>
    </row>
    <row r="13" spans="1:6" x14ac:dyDescent="0.45">
      <c r="A13" s="39" t="s">
        <v>39</v>
      </c>
    </row>
  </sheetData>
  <mergeCells count="6">
    <mergeCell ref="A2:B2"/>
    <mergeCell ref="C2:F2"/>
    <mergeCell ref="A3:B3"/>
    <mergeCell ref="C3:F3"/>
    <mergeCell ref="A4:B4"/>
    <mergeCell ref="C4:F4"/>
  </mergeCells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16</vt:i4>
      </vt:variant>
    </vt:vector>
  </HeadingPairs>
  <TitlesOfParts>
    <vt:vector size="26" baseType="lpstr">
      <vt:lpstr>ガントチャート</vt:lpstr>
      <vt:lpstr>ゲームプログラム</vt:lpstr>
      <vt:lpstr>ツール</vt:lpstr>
      <vt:lpstr>モデル</vt:lpstr>
      <vt:lpstr>BGM</vt:lpstr>
      <vt:lpstr>SE</vt:lpstr>
      <vt:lpstr>テクスチャ</vt:lpstr>
      <vt:lpstr>UI</vt:lpstr>
      <vt:lpstr>モーション</vt:lpstr>
      <vt:lpstr>リスト</vt:lpstr>
      <vt:lpstr>BGM!状況</vt:lpstr>
      <vt:lpstr>SE!状況</vt:lpstr>
      <vt:lpstr>UI!状況</vt:lpstr>
      <vt:lpstr>ツール!状況</vt:lpstr>
      <vt:lpstr>テクスチャ!状況</vt:lpstr>
      <vt:lpstr>モーション!状況</vt:lpstr>
      <vt:lpstr>モデル!状況</vt:lpstr>
      <vt:lpstr>状況</vt:lpstr>
      <vt:lpstr>BGM!達成率</vt:lpstr>
      <vt:lpstr>SE!達成率</vt:lpstr>
      <vt:lpstr>UI!達成率</vt:lpstr>
      <vt:lpstr>ツール!達成率</vt:lpstr>
      <vt:lpstr>テクスチャ!達成率</vt:lpstr>
      <vt:lpstr>モーション!達成率</vt:lpstr>
      <vt:lpstr>モデル!達成率</vt:lpstr>
      <vt:lpstr>達成率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gsp029</dc:creator>
  <cp:lastModifiedBy>gsp012</cp:lastModifiedBy>
  <dcterms:created xsi:type="dcterms:W3CDTF">2020-10-19T05:07:01Z</dcterms:created>
  <dcterms:modified xsi:type="dcterms:W3CDTF">2020-10-26T06:57:46Z</dcterms:modified>
</cp:coreProperties>
</file>